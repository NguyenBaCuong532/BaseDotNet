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resident\UNI.RESIDENT.API\Reports\"/>
    </mc:Choice>
  </mc:AlternateContent>
  <xr:revisionPtr revIDLastSave="0" documentId="13_ncr:1_{AEFA4971-5004-4EF9-8A69-7760FCC1F6F6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Tổng hợp Công Nợ" sheetId="11" r:id="rId1"/>
  </sheets>
  <definedNames>
    <definedName name="__Data0__">'Tổng hợp Công Nợ'!$A$8:$X$8</definedName>
    <definedName name="_xlnm._FilterDatabase" localSheetId="0" hidden="1">'Tổng hợp Công Nợ'!$A$5:$Y$9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7" i="11" l="1"/>
  <c r="V8" i="11"/>
  <c r="U8" i="11"/>
  <c r="W8" i="11" l="1"/>
  <c r="I7" i="11"/>
  <c r="K7" i="11"/>
  <c r="J7" i="11"/>
  <c r="H8" i="11"/>
  <c r="F7" i="11"/>
  <c r="N7" i="11" l="1"/>
  <c r="T7" i="11"/>
  <c r="S7" i="11"/>
  <c r="R7" i="11"/>
  <c r="Q7" i="11"/>
  <c r="P7" i="11"/>
  <c r="O7" i="11"/>
  <c r="M7" i="11"/>
  <c r="L7" i="11"/>
  <c r="H7" i="11"/>
  <c r="G7" i="11"/>
  <c r="V7" i="11" l="1"/>
  <c r="U7" i="11"/>
  <c r="W7" i="11" l="1"/>
</calcChain>
</file>

<file path=xl/sharedStrings.xml><?xml version="1.0" encoding="utf-8"?>
<sst xmlns="http://schemas.openxmlformats.org/spreadsheetml/2006/main" count="64" uniqueCount="42">
  <si>
    <t>STT</t>
  </si>
  <si>
    <t>Tòa Nhà</t>
  </si>
  <si>
    <t xml:space="preserve">Căn hộ </t>
  </si>
  <si>
    <t>Mã FAST</t>
  </si>
  <si>
    <t xml:space="preserve"> Chủ căn hộ </t>
  </si>
  <si>
    <t>Ghi chú</t>
  </si>
  <si>
    <t>Phí dịch vụ</t>
  </si>
  <si>
    <t>Phí xe</t>
  </si>
  <si>
    <t>Phí điện</t>
  </si>
  <si>
    <t>Phí nước</t>
  </si>
  <si>
    <t>Số phải thu</t>
  </si>
  <si>
    <t>Số đã thu</t>
  </si>
  <si>
    <t>Còn lại</t>
  </si>
  <si>
    <t>Phí vệ sinh hội trường</t>
  </si>
  <si>
    <t>Phí thi công</t>
  </si>
  <si>
    <t>Căn hộ cư dân/STM</t>
  </si>
  <si>
    <t>Để trống</t>
  </si>
  <si>
    <t>lấy số từ thông báo</t>
  </si>
  <si>
    <t>Lấy số từ biên nhận</t>
  </si>
  <si>
    <t>để trống</t>
  </si>
  <si>
    <t>&lt;#evaluate(&lt;#Data0.#rowpos&gt;+1)&gt;</t>
  </si>
  <si>
    <t>&lt;#Data0.FullName&gt;</t>
  </si>
  <si>
    <t>PHÁT SINH THÁNG &lt;#Month&gt;/&lt;#Year&gt;</t>
  </si>
  <si>
    <t>SỐ CUỐI KỲ (&lt;#Day&gt;/&lt;#Month&gt;/&lt;#Year&gt;)</t>
  </si>
  <si>
    <t>&lt;#Data0.RoomCode&gt;</t>
  </si>
  <si>
    <t>SỐ ĐẦU KỲ (&lt;#FDay&gt;/&lt;#FMonth&gt;/&lt;#FYear&gt;)</t>
  </si>
  <si>
    <t>&lt;#Data0.Fast&gt;</t>
  </si>
  <si>
    <t>&lt;#Data0.BuildingCd&gt;</t>
  </si>
  <si>
    <t>&lt;#Data0.Ddv&gt;</t>
  </si>
  <si>
    <t>&lt;#Data0.Pdv&gt;</t>
  </si>
  <si>
    <t>&lt;#Data0.Pvs&gt;</t>
  </si>
  <si>
    <t>&lt;#Data0.Dvs&gt;</t>
  </si>
  <si>
    <t>&lt;#Data0.Pxe&gt;</t>
  </si>
  <si>
    <t>&lt;#Data0.Dxe&gt;</t>
  </si>
  <si>
    <t>&lt;#Data0.Pdien&gt;</t>
  </si>
  <si>
    <t>&lt;#Data0.Ddien&gt;</t>
  </si>
  <si>
    <t>&lt;#Data0.Pnuoc&gt;</t>
  </si>
  <si>
    <t>&lt;#Data0.Dnuoc&gt;</t>
  </si>
  <si>
    <t>&lt;#Data0.Ptc&gt;</t>
  </si>
  <si>
    <t>&lt;#Data0.Dtc&gt;</t>
  </si>
  <si>
    <t>&lt;#Data0.DkPt&gt;</t>
  </si>
  <si>
    <t>&lt;#Data0.DkDt&gt;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</si>
</sst>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10" fontId="2" fillId="0" borderId="0" xfId="1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165" fontId="2" fillId="5" borderId="2" xfId="2" applyNumberFormat="1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66" fontId="2" fillId="0" borderId="0" xfId="3" applyNumberFormat="1" applyFont="1" applyAlignment="1">
      <alignment vertical="center"/>
    </xf>
    <xf numFmtId="166" fontId="3" fillId="4" borderId="2" xfId="3" applyNumberFormat="1" applyFont="1" applyFill="1" applyBorder="1" applyAlignment="1">
      <alignment horizontal="center" vertical="center" wrapText="1"/>
    </xf>
    <xf numFmtId="166" fontId="2" fillId="5" borderId="2" xfId="3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2" fillId="0" borderId="0" xfId="3" applyFont="1" applyAlignment="1">
      <alignment vertical="center"/>
    </xf>
    <xf numFmtId="166" fontId="2" fillId="0" borderId="0" xfId="0" applyNumberFormat="1" applyFont="1" applyAlignment="1">
      <alignment vertical="center"/>
    </xf>
    <xf numFmtId="3" fontId="3" fillId="2" borderId="1" xfId="0" applyNumberFormat="1" applyFont="1" applyFill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/>
    </xf>
    <xf numFmtId="166" fontId="3" fillId="4" borderId="8" xfId="3" applyNumberFormat="1" applyFont="1" applyFill="1" applyBorder="1" applyAlignment="1">
      <alignment horizontal="center" vertical="center" wrapText="1"/>
    </xf>
    <xf numFmtId="166" fontId="2" fillId="5" borderId="2" xfId="3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5" fontId="3" fillId="3" borderId="1" xfId="2" applyNumberFormat="1" applyFont="1" applyFill="1" applyBorder="1" applyAlignment="1">
      <alignment horizontal="center" vertical="center"/>
    </xf>
    <xf numFmtId="165" fontId="3" fillId="3" borderId="6" xfId="2" applyNumberFormat="1" applyFont="1" applyFill="1" applyBorder="1" applyAlignment="1">
      <alignment horizontal="center" vertical="center"/>
    </xf>
    <xf numFmtId="165" fontId="3" fillId="3" borderId="2" xfId="2" applyNumberFormat="1" applyFont="1" applyFill="1" applyBorder="1" applyAlignment="1">
      <alignment horizontal="center" vertical="center"/>
    </xf>
    <xf numFmtId="166" fontId="3" fillId="0" borderId="3" xfId="3" applyNumberFormat="1" applyFont="1" applyBorder="1" applyAlignment="1">
      <alignment horizontal="center" vertical="center" wrapText="1"/>
    </xf>
    <xf numFmtId="166" fontId="3" fillId="0" borderId="5" xfId="3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/>
    </xf>
  </cellXfs>
  <cellStyles count="4">
    <cellStyle name="Comma" xfId="3" builtinId="3"/>
    <cellStyle name="Comma 7" xfId="2" xr:uid="{00000000-0005-0000-0000-000001000000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775DE-8F24-49C7-A95F-FF7AB43045A6}">
  <sheetPr>
    <tabColor rgb="FFFFFF00"/>
  </sheetPr>
  <dimension ref="A1:X9"/>
  <sheetViews>
    <sheetView tabSelected="1" zoomScaleNormal="100" workbookViewId="0">
      <pane xSplit="5" ySplit="7" topLeftCell="F8" activePane="bottomRight" state="frozen"/>
      <selection pane="topRight" activeCell="F1" sqref="F1"/>
      <selection pane="bottomLeft" activeCell="A6" sqref="A6"/>
      <selection pane="bottomRight" activeCell="J28" sqref="J28"/>
    </sheetView>
  </sheetViews>
  <sheetFormatPr defaultColWidth="9.28515625" defaultRowHeight="15" x14ac:dyDescent="0.25"/>
  <cols>
    <col min="1" max="1" width="5" style="1" customWidth="1"/>
    <col min="2" max="2" width="9.42578125" style="1" customWidth="1"/>
    <col min="3" max="3" width="9.85546875" style="1" customWidth="1"/>
    <col min="4" max="4" width="19.28515625" style="1" customWidth="1"/>
    <col min="5" max="5" width="29.42578125" style="2" customWidth="1"/>
    <col min="6" max="6" width="17" style="13" customWidth="1"/>
    <col min="7" max="7" width="14.5703125" style="13" customWidth="1"/>
    <col min="8" max="8" width="16" style="1" customWidth="1"/>
    <col min="9" max="9" width="15.7109375" style="1" customWidth="1"/>
    <col min="10" max="10" width="16.42578125" style="1" customWidth="1"/>
    <col min="11" max="11" width="13.7109375" style="1" customWidth="1"/>
    <col min="12" max="12" width="15" style="1" customWidth="1"/>
    <col min="13" max="13" width="14" style="1" customWidth="1"/>
    <col min="14" max="14" width="14.5703125" style="1" customWidth="1"/>
    <col min="15" max="15" width="15.28515625" style="1" customWidth="1"/>
    <col min="16" max="16" width="15.7109375" style="1" customWidth="1"/>
    <col min="17" max="17" width="16.28515625" style="1" customWidth="1"/>
    <col min="18" max="18" width="16" style="1" customWidth="1"/>
    <col min="19" max="19" width="13.28515625" style="1" customWidth="1"/>
    <col min="20" max="20" width="13.85546875" style="1" customWidth="1"/>
    <col min="21" max="21" width="17.28515625" style="1" customWidth="1"/>
    <col min="22" max="23" width="16.7109375" style="1" customWidth="1"/>
    <col min="24" max="24" width="21.5703125" style="1" customWidth="1"/>
    <col min="25" max="16384" width="9.28515625" style="1"/>
  </cols>
  <sheetData>
    <row r="1" spans="1:24" x14ac:dyDescent="0.25">
      <c r="F1" s="20"/>
      <c r="O1" s="21"/>
      <c r="P1" s="4"/>
      <c r="V1" s="3"/>
      <c r="W1" s="4"/>
      <c r="X1" s="4"/>
    </row>
    <row r="2" spans="1:24" ht="20.25" customHeight="1" x14ac:dyDescent="0.25">
      <c r="A2" s="40" t="s">
        <v>0</v>
      </c>
      <c r="B2" s="40" t="s">
        <v>1</v>
      </c>
      <c r="C2" s="40" t="s">
        <v>2</v>
      </c>
      <c r="D2" s="40" t="s">
        <v>3</v>
      </c>
      <c r="E2" s="41" t="s">
        <v>4</v>
      </c>
      <c r="F2" s="29" t="s">
        <v>25</v>
      </c>
      <c r="G2" s="29"/>
      <c r="H2" s="29"/>
      <c r="I2" s="27" t="s">
        <v>22</v>
      </c>
      <c r="J2" s="27"/>
      <c r="K2" s="27"/>
      <c r="L2" s="27"/>
      <c r="M2" s="27"/>
      <c r="N2" s="27"/>
      <c r="O2" s="27"/>
      <c r="P2" s="27"/>
      <c r="Q2" s="27"/>
      <c r="R2" s="27"/>
      <c r="S2" s="27"/>
      <c r="T2" s="28"/>
      <c r="U2" s="29" t="s">
        <v>23</v>
      </c>
      <c r="V2" s="29"/>
      <c r="W2" s="29"/>
      <c r="X2" s="30" t="s">
        <v>5</v>
      </c>
    </row>
    <row r="3" spans="1:24" ht="20.25" customHeight="1" x14ac:dyDescent="0.25">
      <c r="A3" s="40"/>
      <c r="B3" s="40"/>
      <c r="C3" s="40"/>
      <c r="D3" s="40"/>
      <c r="E3" s="41"/>
      <c r="F3" s="29"/>
      <c r="G3" s="29"/>
      <c r="H3" s="29"/>
      <c r="I3" s="27" t="s">
        <v>6</v>
      </c>
      <c r="J3" s="28"/>
      <c r="K3" s="33" t="s">
        <v>13</v>
      </c>
      <c r="L3" s="28"/>
      <c r="M3" s="34" t="s">
        <v>7</v>
      </c>
      <c r="N3" s="34"/>
      <c r="O3" s="35" t="s">
        <v>8</v>
      </c>
      <c r="P3" s="35"/>
      <c r="Q3" s="35" t="s">
        <v>9</v>
      </c>
      <c r="R3" s="35"/>
      <c r="S3" s="36" t="s">
        <v>14</v>
      </c>
      <c r="T3" s="37"/>
      <c r="U3" s="29"/>
      <c r="V3" s="29"/>
      <c r="W3" s="29"/>
      <c r="X3" s="31"/>
    </row>
    <row r="4" spans="1:24" ht="20.25" customHeight="1" x14ac:dyDescent="0.25">
      <c r="A4" s="40"/>
      <c r="B4" s="40"/>
      <c r="C4" s="40"/>
      <c r="D4" s="40"/>
      <c r="E4" s="41"/>
      <c r="F4" s="38" t="s">
        <v>10</v>
      </c>
      <c r="G4" s="38" t="s">
        <v>11</v>
      </c>
      <c r="H4" s="30" t="s">
        <v>12</v>
      </c>
      <c r="I4" s="33" t="s">
        <v>15</v>
      </c>
      <c r="J4" s="28"/>
      <c r="K4" s="26" t="s">
        <v>10</v>
      </c>
      <c r="L4" s="26" t="s">
        <v>11</v>
      </c>
      <c r="M4" s="26" t="s">
        <v>10</v>
      </c>
      <c r="N4" s="26" t="s">
        <v>11</v>
      </c>
      <c r="O4" s="26" t="s">
        <v>10</v>
      </c>
      <c r="P4" s="26" t="s">
        <v>11</v>
      </c>
      <c r="Q4" s="26" t="s">
        <v>10</v>
      </c>
      <c r="R4" s="26" t="s">
        <v>11</v>
      </c>
      <c r="S4" s="26" t="s">
        <v>10</v>
      </c>
      <c r="T4" s="26" t="s">
        <v>11</v>
      </c>
      <c r="U4" s="17"/>
      <c r="V4" s="22"/>
      <c r="W4" s="23"/>
      <c r="X4" s="31"/>
    </row>
    <row r="5" spans="1:24" ht="18" customHeight="1" x14ac:dyDescent="0.25">
      <c r="A5" s="40"/>
      <c r="B5" s="40"/>
      <c r="C5" s="40"/>
      <c r="D5" s="40"/>
      <c r="E5" s="41"/>
      <c r="F5" s="39"/>
      <c r="G5" s="39"/>
      <c r="H5" s="32"/>
      <c r="I5" s="16" t="s">
        <v>10</v>
      </c>
      <c r="J5" s="16" t="s">
        <v>11</v>
      </c>
      <c r="K5" s="26"/>
      <c r="L5" s="26"/>
      <c r="M5" s="26"/>
      <c r="N5" s="26"/>
      <c r="O5" s="26"/>
      <c r="P5" s="26"/>
      <c r="Q5" s="26"/>
      <c r="R5" s="26"/>
      <c r="S5" s="26"/>
      <c r="T5" s="26"/>
      <c r="U5" s="19" t="s">
        <v>10</v>
      </c>
      <c r="V5" s="19" t="s">
        <v>11</v>
      </c>
      <c r="W5" s="18" t="s">
        <v>12</v>
      </c>
      <c r="X5" s="32"/>
    </row>
    <row r="6" spans="1:24" s="7" customFormat="1" ht="29.45" hidden="1" customHeight="1" x14ac:dyDescent="0.25">
      <c r="A6" s="5"/>
      <c r="B6" s="5"/>
      <c r="C6" s="5"/>
      <c r="D6" s="5" t="s">
        <v>16</v>
      </c>
      <c r="E6" s="6"/>
      <c r="F6" s="14"/>
      <c r="G6" s="14"/>
      <c r="H6" s="14"/>
      <c r="I6" s="14" t="s">
        <v>17</v>
      </c>
      <c r="J6" s="14" t="s">
        <v>18</v>
      </c>
      <c r="K6" s="14" t="s">
        <v>19</v>
      </c>
      <c r="L6" s="14" t="s">
        <v>19</v>
      </c>
      <c r="M6" s="14" t="s">
        <v>17</v>
      </c>
      <c r="N6" s="14" t="s">
        <v>18</v>
      </c>
      <c r="O6" s="14" t="s">
        <v>17</v>
      </c>
      <c r="P6" s="14" t="s">
        <v>18</v>
      </c>
      <c r="Q6" s="14" t="s">
        <v>17</v>
      </c>
      <c r="R6" s="14" t="s">
        <v>18</v>
      </c>
      <c r="S6" s="14"/>
      <c r="T6" s="14"/>
      <c r="U6" s="14"/>
      <c r="V6" s="14"/>
      <c r="W6" s="14"/>
      <c r="X6" s="24"/>
    </row>
    <row r="7" spans="1:24" s="7" customFormat="1" ht="18" customHeight="1" x14ac:dyDescent="0.25">
      <c r="A7" s="5"/>
      <c r="B7" s="5"/>
      <c r="C7" s="5"/>
      <c r="D7" s="5"/>
      <c r="E7" s="6"/>
      <c r="F7" s="14">
        <f t="shared" ref="F7:X7" si="0">SUBTOTAL(9,F8:F9)</f>
        <v>0</v>
      </c>
      <c r="G7" s="14">
        <f t="shared" si="0"/>
        <v>0</v>
      </c>
      <c r="H7" s="14">
        <f t="shared" si="0"/>
        <v>0</v>
      </c>
      <c r="I7" s="14">
        <f t="shared" si="0"/>
        <v>0</v>
      </c>
      <c r="J7" s="14">
        <f t="shared" si="0"/>
        <v>0</v>
      </c>
      <c r="K7" s="14">
        <f t="shared" si="0"/>
        <v>0</v>
      </c>
      <c r="L7" s="14">
        <f t="shared" si="0"/>
        <v>0</v>
      </c>
      <c r="M7" s="14">
        <f t="shared" si="0"/>
        <v>0</v>
      </c>
      <c r="N7" s="14">
        <f t="shared" si="0"/>
        <v>0</v>
      </c>
      <c r="O7" s="14">
        <f t="shared" si="0"/>
        <v>0</v>
      </c>
      <c r="P7" s="14">
        <f t="shared" si="0"/>
        <v>0</v>
      </c>
      <c r="Q7" s="14">
        <f t="shared" si="0"/>
        <v>0</v>
      </c>
      <c r="R7" s="14">
        <f t="shared" si="0"/>
        <v>0</v>
      </c>
      <c r="S7" s="14">
        <f t="shared" si="0"/>
        <v>0</v>
      </c>
      <c r="T7" s="14">
        <f t="shared" si="0"/>
        <v>0</v>
      </c>
      <c r="U7" s="14" t="e">
        <f t="shared" si="0"/>
        <v>#VALUE!</v>
      </c>
      <c r="V7" s="14" t="e">
        <f t="shared" si="0"/>
        <v>#VALUE!</v>
      </c>
      <c r="W7" s="14" t="e">
        <f t="shared" si="0"/>
        <v>#VALUE!</v>
      </c>
      <c r="X7" s="14">
        <f t="shared" si="0"/>
        <v>0</v>
      </c>
    </row>
    <row r="8" spans="1:24" s="12" customFormat="1" ht="18" customHeight="1" x14ac:dyDescent="0.25">
      <c r="A8" s="8" t="s">
        <v>20</v>
      </c>
      <c r="B8" s="8" t="s">
        <v>27</v>
      </c>
      <c r="C8" s="8" t="s">
        <v>24</v>
      </c>
      <c r="D8" s="8" t="s">
        <v>26</v>
      </c>
      <c r="E8" s="42" t="s">
        <v>21</v>
      </c>
      <c r="F8" s="15" t="s">
        <v>40</v>
      </c>
      <c r="G8" s="25" t="s">
        <v>41</v>
      </c>
      <c r="H8" s="10" t="str">
        <f>F8</f>
        <v>&lt;#Data0.DkPt&gt;</v>
      </c>
      <c r="I8" s="10" t="s">
        <v>29</v>
      </c>
      <c r="J8" s="10" t="s">
        <v>28</v>
      </c>
      <c r="K8" s="10" t="s">
        <v>30</v>
      </c>
      <c r="L8" s="10" t="s">
        <v>31</v>
      </c>
      <c r="M8" s="10" t="s">
        <v>32</v>
      </c>
      <c r="N8" s="10" t="s">
        <v>33</v>
      </c>
      <c r="O8" s="10" t="s">
        <v>34</v>
      </c>
      <c r="P8" s="10" t="s">
        <v>35</v>
      </c>
      <c r="Q8" s="10" t="s">
        <v>36</v>
      </c>
      <c r="R8" s="10" t="s">
        <v>37</v>
      </c>
      <c r="S8" s="10" t="s">
        <v>38</v>
      </c>
      <c r="T8" s="10" t="s">
        <v>39</v>
      </c>
      <c r="U8" s="10" t="e">
        <f>F8+I8+K8+M8+O8+Q8+S8</f>
        <v>#VALUE!</v>
      </c>
      <c r="V8" s="10" t="e">
        <f>G8+J8+L8+N8+P8+R8+T8</f>
        <v>#VALUE!</v>
      </c>
      <c r="W8" s="10" t="e">
        <f>U8-V8</f>
        <v>#VALUE!</v>
      </c>
      <c r="X8" s="11"/>
    </row>
    <row r="9" spans="1:24" s="12" customFormat="1" ht="18" hidden="1" customHeight="1" x14ac:dyDescent="0.25">
      <c r="A9" s="8"/>
      <c r="B9" s="8"/>
      <c r="C9" s="8"/>
      <c r="D9" s="8"/>
      <c r="E9" s="9"/>
      <c r="F9" s="15"/>
      <c r="G9" s="15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1"/>
    </row>
  </sheetData>
  <autoFilter ref="A5:Y9" xr:uid="{00000000-0009-0000-0000-000004000000}"/>
  <mergeCells count="29">
    <mergeCell ref="A2:A5"/>
    <mergeCell ref="B2:B5"/>
    <mergeCell ref="C2:C5"/>
    <mergeCell ref="D2:D5"/>
    <mergeCell ref="E2:E5"/>
    <mergeCell ref="K4:K5"/>
    <mergeCell ref="L4:L5"/>
    <mergeCell ref="M4:M5"/>
    <mergeCell ref="N4:N5"/>
    <mergeCell ref="F2:H3"/>
    <mergeCell ref="F4:F5"/>
    <mergeCell ref="G4:G5"/>
    <mergeCell ref="H4:H5"/>
    <mergeCell ref="O4:O5"/>
    <mergeCell ref="P4:P5"/>
    <mergeCell ref="I2:T2"/>
    <mergeCell ref="U2:W3"/>
    <mergeCell ref="X2:X5"/>
    <mergeCell ref="I3:J3"/>
    <mergeCell ref="K3:L3"/>
    <mergeCell ref="M3:N3"/>
    <mergeCell ref="O3:P3"/>
    <mergeCell ref="Q3:R3"/>
    <mergeCell ref="S3:T3"/>
    <mergeCell ref="I4:J4"/>
    <mergeCell ref="Q4:Q5"/>
    <mergeCell ref="R4:R5"/>
    <mergeCell ref="S4:S5"/>
    <mergeCell ref="T4:T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Tổng hợp Công Nợ</vt:lpstr>
      <vt:lpstr>__Data0__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 Tran Thi Thanh</dc:creator>
  <cp:lastModifiedBy>Vu Tran Cong</cp:lastModifiedBy>
  <dcterms:created xsi:type="dcterms:W3CDTF">2025-08-13T08:43:14Z</dcterms:created>
  <dcterms:modified xsi:type="dcterms:W3CDTF">2026-01-29T09:34:28Z</dcterms:modified>
</cp:coreProperties>
</file>