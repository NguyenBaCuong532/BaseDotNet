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F7F0FFC1-71A7-4EA5-8FB3-CE5200BBD81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hongBaoThuPhi" sheetId="9" r:id="rId1"/>
    <sheet name="&lt;#Config&gt;" sheetId="7" r:id="rId2"/>
  </sheets>
  <definedNames>
    <definedName name="__Data0__">ThongBaoThuPhi!$A$1:$H$60</definedName>
    <definedName name="__Data1__">ThongBaoThuPhi!$A$15:$G$15</definedName>
    <definedName name="__Data2__">ThongBaoThuPhi!$A$19:$H$19</definedName>
    <definedName name="__Data3__">ThongBaoThuPhi!$A$20:$G$20</definedName>
    <definedName name="__Data4__">ThongBaoThuPhi!$A$29:$H$29</definedName>
    <definedName name="__Data5__">ThongBaoThuPhi!$A$30:$H$30</definedName>
    <definedName name="__Data6__">ThongBaoThuPhi!$A$39:$H$45</definedName>
    <definedName name="__Data7__">ThongBaoThuPhi!$A$48:$H$49</definedName>
    <definedName name="__Data8__">ThongBaoThuPhi!$D$37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9" l="1"/>
  <c r="G24" i="9" s="1"/>
  <c r="G33" i="9" l="1"/>
  <c r="G34" i="9" l="1"/>
  <c r="G36" i="9" s="1"/>
  <c r="G35" i="9"/>
  <c r="G25" i="9"/>
  <c r="F49" i="9"/>
  <c r="E29" i="9" l="1"/>
  <c r="E1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A4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Van Minh</author>
  </authors>
  <commentList>
    <comment ref="L2" authorId="0" shapeId="0" xr:uid="{00000000-0006-0000-0100-000001000000}">
      <text>
        <r>
          <rPr>
            <sz val="9"/>
            <rFont val="Tahoma"/>
            <family val="2"/>
            <charset val="163"/>
          </rPr>
          <t>08-Oct-10 tqxiem Can chinh theo check List
13-10-10 tqxiem : Đổi lai tên tieu de báo cáo la
Danh sach nhan vien gia han hop dong</t>
        </r>
      </text>
    </comment>
  </commentList>
</comments>
</file>

<file path=xl/sharedStrings.xml><?xml version="1.0" encoding="utf-8"?>
<sst xmlns="http://schemas.openxmlformats.org/spreadsheetml/2006/main" count="132" uniqueCount="123">
  <si>
    <t>CỘNG HÒA XÃ HỘI CHỦ NGHĨA VIỆT NAM</t>
  </si>
  <si>
    <t>Độc lập - Tự do - Hạnh phúc</t>
  </si>
  <si>
    <t xml:space="preserve">Hà Nội, &lt;#StrDate&gt; </t>
  </si>
  <si>
    <t>THÔNG BÁO THU PHÍ SỐ/MONTHLY FEE NOTICE NO. &lt;#Data0.RoomCode&gt;</t>
  </si>
  <si>
    <r>
      <t xml:space="preserve">Khách hàng/Customer: </t>
    </r>
    <r>
      <rPr>
        <b/>
        <sz val="10"/>
        <rFont val="Times New Roman"/>
        <family val="1"/>
      </rPr>
      <t xml:space="preserve">&lt;#Data0.FullName&gt; </t>
    </r>
  </si>
  <si>
    <r>
      <t xml:space="preserve">Căn hộ/Apartment: </t>
    </r>
    <r>
      <rPr>
        <b/>
        <sz val="10"/>
        <rFont val="Times New Roman"/>
        <family val="1"/>
      </rPr>
      <t>&lt;#Data0.RoomCode&gt;</t>
    </r>
    <r>
      <rPr>
        <sz val="10"/>
        <rFont val="Times New Roman"/>
        <family val="1"/>
      </rPr>
      <t xml:space="preserve"> </t>
    </r>
  </si>
  <si>
    <t>STT/No</t>
  </si>
  <si>
    <t>Diễn giải/Description</t>
  </si>
  <si>
    <t>Thành tiền/
Amount</t>
  </si>
  <si>
    <t>1. Công nợ cũ/Outstanding</t>
  </si>
  <si>
    <t>Nợ tồn/Outstanding (Nếu có/ If any)</t>
  </si>
  <si>
    <t>&lt;#if(&lt;#Data1.DebitAmt&gt; ="0";0;&lt;#Data1.DebitAmt&gt; )&gt;</t>
  </si>
  <si>
    <t>2. Phí điện sử dụng tháng/Monthly electricity fee : &lt;#Data0.MonthLiving&gt;</t>
  </si>
  <si>
    <t>Mức/
Rate</t>
  </si>
  <si>
    <t>Mã CT/
Electricity code</t>
  </si>
  <si>
    <t>Chỉ số cũ/
Start Index</t>
  </si>
  <si>
    <t>Chỉ số mới/
New Index</t>
  </si>
  <si>
    <t>Số tiêu thụ/
Electricity Consum</t>
  </si>
  <si>
    <t>Đơn giá/
Unit price</t>
  </si>
  <si>
    <t>&lt;#Data2.MeterSerial&gt;</t>
  </si>
  <si>
    <t>&lt;#Data2.FromNum&gt;</t>
  </si>
  <si>
    <t>&lt;#Data2.ToNum&gt;</t>
  </si>
  <si>
    <t>&lt;#Data3.PriceRangeElectric&gt;</t>
  </si>
  <si>
    <t>&lt;#Data3.Quantity&gt;</t>
  </si>
  <si>
    <t>&lt;#Data3.Price&gt;</t>
  </si>
  <si>
    <t>&lt;#Data3.Amount&gt;</t>
  </si>
  <si>
    <t>Cộng</t>
  </si>
  <si>
    <t>&lt;#Aggregate(Sum;Data3;&lt;#Data3.Amount&gt;)&gt;</t>
  </si>
  <si>
    <t>Tổng tiền giảm trừ/Total of Deduction</t>
  </si>
  <si>
    <t>&lt;#if(&lt;#Data0.DisCountElecAmt&gt; ="0";0;&lt;#Data0.DisCountElecAmt&gt; )&gt;</t>
  </si>
  <si>
    <t>Tổng tiền sau giảm trừ/Total after Deduction</t>
  </si>
  <si>
    <t>Thuế suất GTGT/VAT: 8%</t>
  </si>
  <si>
    <t>Tổng cộng tiền điện thanh toán/Total</t>
  </si>
  <si>
    <t xml:space="preserve">3. Phí nước sử dụng tháng/Monthly water fee :  &lt;#Data0.MonthLiving&gt; </t>
  </si>
  <si>
    <t>Mã CT/
Water code</t>
  </si>
  <si>
    <t>Chỉ số đầu/
Start Index</t>
  </si>
  <si>
    <t>Chỉ số cuối/
New Index</t>
  </si>
  <si>
    <t>Số tiêu thụ/
Water Consum</t>
  </si>
  <si>
    <t>&lt;#Data4.MeterSerial&gt;</t>
  </si>
  <si>
    <t>&lt;#Data4.FromNum&gt;</t>
  </si>
  <si>
    <t>&lt;#Data4.ToNum&gt;</t>
  </si>
  <si>
    <t>&lt;#Data5.PriceRangeWater&gt;</t>
  </si>
  <si>
    <t>&lt;#Data5.Quantity&gt;</t>
  </si>
  <si>
    <t>&lt;#Data5.Price&gt;</t>
  </si>
  <si>
    <t>&lt;#Data5.Amount&gt;</t>
  </si>
  <si>
    <t>&lt;#Aggregate(Sum;Data5;&lt;#Data5.Amount&gt;)&gt;</t>
  </si>
  <si>
    <t>&lt;#if(&lt;#Data0.DisCountWaterAmt&gt; ="0";0;&lt;#Data0.DisCountWaterAmt&gt; )&gt;</t>
  </si>
  <si>
    <t>Thuế suất GTGT/VAT: 5%</t>
  </si>
  <si>
    <t>Phí bảo vệ môi trường đối với NTSH/Environmental protection fee:10%</t>
  </si>
  <si>
    <t>Tổng cộng tiền nước thanh toán/Total</t>
  </si>
  <si>
    <t>4. Phí giữ xe tháng/Vehicle Fee: &lt;#Data0.MonthVehicleFee&gt;</t>
  </si>
  <si>
    <t xml:space="preserve">Ô tô thứ 2 trở lên là &lt;#Data8.CarFee2&gt; , Xe máy thứ 3  trở lên là &lt;#Data8.MotoFee3&gt;  </t>
  </si>
  <si>
    <t>Phí giữ xe/ Parking fee</t>
  </si>
  <si>
    <t>Số lượng/
Q.ty</t>
  </si>
  <si>
    <t>Phí trông giữ xe ô tô/Car</t>
  </si>
  <si>
    <t>&lt;#Data6.CarNumber&gt;</t>
  </si>
  <si>
    <t>&lt;#if(&lt;#Data6.CarFee&gt; ="0";0;&lt;#Data6.CarFee&gt; )&gt;</t>
  </si>
  <si>
    <t>Phí trông giữ xe máy/Motorbike</t>
  </si>
  <si>
    <t>&lt;#Data6.MotoNumber&gt;</t>
  </si>
  <si>
    <t>&lt;#if(&lt;#Data6.MotoFee&gt; ="0";0;&lt;#Data6.MotoFee&gt; )&gt;</t>
  </si>
  <si>
    <t>Phí trông giữ xe máy điện/Electric motorbike</t>
  </si>
  <si>
    <t>&lt;#Data6.MotoELNumber&gt;</t>
  </si>
  <si>
    <t>&lt;#if(&lt;#Data6.MotoELFee&gt; ="0";0;&lt;#Data6.MotoELFee&gt; )&gt;</t>
  </si>
  <si>
    <t>Phí trông giữ xe đạp/Bicycle</t>
  </si>
  <si>
    <t>&lt;#Data6.BikeNumber&gt;</t>
  </si>
  <si>
    <t>&lt;#if(&lt;#Data6.BikeFee&gt; ="0";0;&lt;#Data6.BikeFee&gt; )&gt;</t>
  </si>
  <si>
    <t>Phí trông giữ xe đạp điện/Electric bicycle</t>
  </si>
  <si>
    <t>&lt;#Data6.BikeELNumber&gt;</t>
  </si>
  <si>
    <t>&lt;#if(&lt;#Data6.BikeELFee&gt; ="0";0;&lt;#Data6.BikeELFee&gt; )&gt;</t>
  </si>
  <si>
    <t>Tổng tiền phải nộp/Total</t>
  </si>
  <si>
    <t>&lt;#if(&lt;#Data6.TotalFee&gt; ="0";0;&lt;#Data6.TotalFee&gt; )&gt;</t>
  </si>
  <si>
    <t>5. Phí quản lý dịch vụ tháng/Monthly management fee: &lt;#Data0.MonthVehicleFee&gt;</t>
  </si>
  <si>
    <t>Phí quản lý dịch vụ tháng/
Monthly management fee</t>
  </si>
  <si>
    <t>Diện tích/
Area</t>
  </si>
  <si>
    <t>Đơn giá/
Unit Price</t>
  </si>
  <si>
    <t>Tổng số/
Total price</t>
  </si>
  <si>
    <t>&lt;#Data7.WaterArea&gt;</t>
  </si>
  <si>
    <t>&lt;#Data7.Price&gt;</t>
  </si>
  <si>
    <t>&lt;#if(&lt;#Data7.CommonFee&gt; ="0";0;&lt;#Data7.CommonFee&gt; )&gt;</t>
  </si>
  <si>
    <t xml:space="preserve">Tổng số tiền khách hàng cần thanh toán/Total (1+2+3+4+5) : </t>
  </si>
  <si>
    <t xml:space="preserve"> &lt;#Data0.TotalAmt&gt;VNĐ</t>
  </si>
  <si>
    <t>Bằng chữ /In words:</t>
  </si>
  <si>
    <t xml:space="preserve"> &lt;#Data0.TotalAmtText&gt;</t>
  </si>
  <si>
    <t>Quý khách vui lòng thanh toán trong vòng 7 ngày kể từ ngày phát hành đề nghị thanh toán. Quý vị có thể thực hiện thanh toán bằng tiền mặt tại phòng kế toán hoặc quầy Lễ tân - Ban BQL toàn nhà (từ 08:00-20:00) hoặc chuyển khoản qua ngân hàng. Tuy nhiên, chúng tôi khuyến khích Quý khách thanh toán qua tài khoản tại ngân hàng.</t>
  </si>
  <si>
    <t>This bill has to be paid within 7 days from issuing date. You can pay on cash at Reception lobby from (08:00 am - 08:00 pm) or bank transfer as below. However, we would encourage residents to pay by bank transfer.</t>
  </si>
  <si>
    <t>Ngân hàng/Bank: &lt;#Data0.Bank_Acc_Branch&gt;</t>
  </si>
  <si>
    <t>Số tài khoản/Account number: &lt;#Data0.Bank_Acc_Num&gt;</t>
  </si>
  <si>
    <t>Chủ Tài khoản/Name: &lt;#Data0.Bank_Acc_Name&gt;</t>
  </si>
  <si>
    <t>Nội dung/Description: Ten:…can ho:…nop tien phi:...thang:…./ Name…unit no:…payment fee… for month...</t>
  </si>
  <si>
    <t>Trân trọng cảm ơn!</t>
  </si>
  <si>
    <t>BQL TÒA NHÀ/ Management Office</t>
  </si>
  <si>
    <t>Thank you!</t>
  </si>
  <si>
    <t>&lt;#Data0.ProjectName&gt;</t>
  </si>
  <si>
    <t>Thanh toán qua VietQR</t>
  </si>
  <si>
    <t>Configuration Sheet</t>
  </si>
  <si>
    <t>Version:</t>
  </si>
  <si>
    <t>Last modified:</t>
  </si>
  <si>
    <t>Modified by:</t>
  </si>
  <si>
    <t>taihv</t>
  </si>
  <si>
    <t>Comments</t>
  </si>
  <si>
    <t>We have kept this sheet intentionally easy, without comments, images, etc, to reduce its size to a minimum</t>
  </si>
  <si>
    <t>DataSet (*.xsd)</t>
  </si>
  <si>
    <t>Config.xsd</t>
  </si>
  <si>
    <t>"&lt;#Aggregate(Sum;Data3;&lt;#Data3.TongTien&gt;)&gt;"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</si>
  <si>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</si>
  <si>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</si>
  <si>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</si>
  <si>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</si>
  <si>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</si>
  <si>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</si>
  <si>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</si>
  <si>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("," Separated), ASC or DESC</t>
  </si>
  <si>
    <t>Format Name</t>
  </si>
  <si>
    <t>Format Def</t>
  </si>
  <si>
    <t>List of usable report variables. Only for design</t>
  </si>
  <si>
    <t>Name</t>
  </si>
  <si>
    <t>Expression</t>
  </si>
  <si>
    <t>B</t>
  </si>
  <si>
    <t>C</t>
  </si>
  <si>
    <t>DGD</t>
  </si>
  <si>
    <t>dinh dang don gia chu dam</t>
  </si>
  <si>
    <t>DG</t>
  </si>
  <si>
    <t>dinh dang don gia chu khong 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</si>
</sst>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[$-F800]dddd\,&quot; &quot;mmmm&quot; &quot;dd\,&quot; &quot;yyyy"/>
    <numFmt numFmtId="166" formatCode="#,###"/>
    <numFmt numFmtId="167" formatCode="#,##0.000"/>
    <numFmt numFmtId="168" formatCode="_-* #,##0\ _₫_-;\-* #,##0\ _₫_-;_-* &quot;-&quot;??\ _₫_-;_-@_-"/>
    <numFmt numFmtId="169" formatCode="#.##0"/>
  </numFmts>
  <fonts count="16">
    <font>
      <sz val="10"/>
      <name val="Arial"/>
    </font>
    <font>
      <sz val="10"/>
      <name val="Arial"/>
      <family val="2"/>
    </font>
    <font>
      <b/>
      <sz val="14"/>
      <color indexed="9"/>
      <name val="Garamond"/>
      <family val="1"/>
    </font>
    <font>
      <sz val="9"/>
      <name val="Tahoma"/>
      <family val="2"/>
      <charset val="163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sz val="9"/>
      <color indexed="81"/>
      <name val="Tahoma"/>
      <family val="2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i/>
      <sz val="10"/>
      <name val="Times New Roman"/>
      <family val="1"/>
    </font>
    <font>
      <b/>
      <u val="doubleAccounting"/>
      <sz val="10"/>
      <name val="Times New Roman"/>
      <family val="1"/>
    </font>
    <font>
      <b/>
      <u val="double"/>
      <sz val="10"/>
      <name val="Times New Roman"/>
      <family val="1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</cellStyleXfs>
  <cellXfs count="106">
    <xf numFmtId="0" fontId="0" fillId="0" borderId="0" xfId="0"/>
    <xf numFmtId="0" fontId="2" fillId="3" borderId="1" xfId="0" applyFont="1" applyFill="1" applyBorder="1"/>
    <xf numFmtId="0" fontId="0" fillId="2" borderId="2" xfId="0" applyFill="1" applyBorder="1"/>
    <xf numFmtId="0" fontId="0" fillId="4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4" borderId="2" xfId="0" applyFill="1" applyBorder="1"/>
    <xf numFmtId="0" fontId="0" fillId="4" borderId="2" xfId="0" applyFill="1" applyBorder="1" applyAlignment="1">
      <alignment wrapText="1"/>
    </xf>
    <xf numFmtId="0" fontId="1" fillId="4" borderId="2" xfId="5" applyFill="1" applyBorder="1" applyAlignment="1">
      <alignment horizontal="right"/>
    </xf>
    <xf numFmtId="0" fontId="1" fillId="4" borderId="2" xfId="5" applyFill="1" applyBorder="1"/>
    <xf numFmtId="165" fontId="1" fillId="4" borderId="2" xfId="5" applyNumberFormat="1" applyFill="1" applyBorder="1" applyAlignment="1">
      <alignment horizontal="left"/>
    </xf>
    <xf numFmtId="0" fontId="1" fillId="0" borderId="0" xfId="0" applyFont="1"/>
    <xf numFmtId="0" fontId="5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center" vertical="top" wrapText="1"/>
    </xf>
    <xf numFmtId="14" fontId="0" fillId="0" borderId="0" xfId="0" applyNumberFormat="1"/>
    <xf numFmtId="166" fontId="5" fillId="0" borderId="6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0" fillId="0" borderId="0" xfId="0" applyNumberFormat="1"/>
    <xf numFmtId="167" fontId="0" fillId="0" borderId="0" xfId="0" applyNumberFormat="1"/>
    <xf numFmtId="4" fontId="0" fillId="0" borderId="0" xfId="0" applyNumberFormat="1"/>
    <xf numFmtId="0" fontId="9" fillId="0" borderId="0" xfId="0" applyFont="1"/>
    <xf numFmtId="168" fontId="9" fillId="0" borderId="0" xfId="6" applyNumberFormat="1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vertical="center"/>
    </xf>
    <xf numFmtId="168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/>
    </xf>
    <xf numFmtId="168" fontId="10" fillId="0" borderId="2" xfId="6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3" fontId="10" fillId="0" borderId="3" xfId="0" applyNumberFormat="1" applyFont="1" applyBorder="1" applyAlignment="1">
      <alignment vertical="center"/>
    </xf>
    <xf numFmtId="3" fontId="10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3" fontId="9" fillId="0" borderId="2" xfId="6" applyNumberFormat="1" applyFont="1" applyBorder="1" applyAlignment="1">
      <alignment horizontal="center" vertical="center"/>
    </xf>
    <xf numFmtId="0" fontId="10" fillId="5" borderId="0" xfId="0" applyFont="1" applyFill="1" applyAlignment="1">
      <alignment vertical="center"/>
    </xf>
    <xf numFmtId="1" fontId="10" fillId="5" borderId="0" xfId="0" applyNumberFormat="1" applyFont="1" applyFill="1" applyAlignment="1">
      <alignment vertical="center"/>
    </xf>
    <xf numFmtId="168" fontId="10" fillId="5" borderId="0" xfId="6" applyNumberFormat="1" applyFont="1" applyFill="1" applyAlignment="1">
      <alignment vertical="center"/>
    </xf>
    <xf numFmtId="0" fontId="9" fillId="5" borderId="0" xfId="0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  <xf numFmtId="168" fontId="13" fillId="0" borderId="0" xfId="6" applyNumberFormat="1" applyFont="1" applyAlignment="1">
      <alignment vertical="center"/>
    </xf>
    <xf numFmtId="3" fontId="9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8" fontId="8" fillId="0" borderId="0" xfId="6" applyNumberFormat="1" applyFont="1" applyFill="1" applyAlignment="1">
      <alignment vertical="center"/>
    </xf>
    <xf numFmtId="0" fontId="8" fillId="0" borderId="0" xfId="0" applyFont="1" applyAlignment="1">
      <alignment horizontal="right" vertical="center"/>
    </xf>
    <xf numFmtId="168" fontId="9" fillId="0" borderId="0" xfId="6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2" xfId="0" applyFont="1" applyBorder="1" applyAlignment="1">
      <alignment horizontal="center" vertical="center"/>
    </xf>
    <xf numFmtId="168" fontId="9" fillId="0" borderId="2" xfId="6" applyNumberFormat="1" applyFont="1" applyBorder="1" applyAlignment="1">
      <alignment horizontal="center" vertical="center"/>
    </xf>
    <xf numFmtId="168" fontId="9" fillId="0" borderId="0" xfId="6" applyNumberFormat="1" applyFont="1" applyBorder="1" applyAlignment="1">
      <alignment horizontal="center" vertical="center"/>
    </xf>
    <xf numFmtId="0" fontId="10" fillId="0" borderId="0" xfId="0" applyFont="1"/>
    <xf numFmtId="3" fontId="10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/>
    </xf>
    <xf numFmtId="3" fontId="10" fillId="0" borderId="2" xfId="6" applyNumberFormat="1" applyFont="1" applyBorder="1" applyAlignment="1">
      <alignment horizontal="right" vertical="center" inden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3" fontId="9" fillId="0" borderId="2" xfId="0" applyNumberFormat="1" applyFont="1" applyBorder="1" applyAlignment="1">
      <alignment horizontal="right" vertical="center" wrapText="1" indent="1"/>
    </xf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3" fontId="10" fillId="0" borderId="3" xfId="0" applyNumberFormat="1" applyFont="1" applyBorder="1" applyAlignment="1">
      <alignment horizontal="right" vertical="center" indent="1"/>
    </xf>
    <xf numFmtId="3" fontId="10" fillId="0" borderId="2" xfId="0" applyNumberFormat="1" applyFont="1" applyBorder="1" applyAlignment="1">
      <alignment horizontal="right" vertical="center" indent="1"/>
    </xf>
    <xf numFmtId="0" fontId="10" fillId="6" borderId="0" xfId="0" applyFont="1" applyFill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169" fontId="9" fillId="6" borderId="0" xfId="0" applyNumberFormat="1" applyFont="1" applyFill="1" applyAlignment="1">
      <alignment horizontal="right" vertical="center"/>
    </xf>
    <xf numFmtId="3" fontId="10" fillId="0" borderId="7" xfId="0" applyNumberFormat="1" applyFont="1" applyBorder="1" applyAlignment="1">
      <alignment horizontal="right" vertical="center" inden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8" fontId="8" fillId="0" borderId="0" xfId="6" applyNumberFormat="1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3" fontId="9" fillId="0" borderId="7" xfId="0" applyNumberFormat="1" applyFont="1" applyBorder="1" applyAlignment="1">
      <alignment horizontal="right" vertical="center" indent="1"/>
    </xf>
    <xf numFmtId="3" fontId="9" fillId="0" borderId="3" xfId="0" applyNumberFormat="1" applyFont="1" applyBorder="1" applyAlignment="1">
      <alignment horizontal="right" vertical="center" indent="1"/>
    </xf>
    <xf numFmtId="0" fontId="10" fillId="6" borderId="0" xfId="0" applyFont="1" applyFill="1" applyAlignment="1">
      <alignment horizontal="left" vertical="center" wrapText="1"/>
    </xf>
    <xf numFmtId="168" fontId="9" fillId="0" borderId="7" xfId="6" applyNumberFormat="1" applyFont="1" applyBorder="1" applyAlignment="1">
      <alignment horizontal="right" vertical="center" indent="1"/>
    </xf>
    <xf numFmtId="168" fontId="9" fillId="0" borderId="3" xfId="6" applyNumberFormat="1" applyFont="1" applyBorder="1" applyAlignment="1">
      <alignment horizontal="right" vertical="center" indent="1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2" fillId="0" borderId="2" xfId="0" applyFont="1" applyBorder="1" applyAlignment="1">
      <alignment vertical="center"/>
    </xf>
    <xf numFmtId="1" fontId="9" fillId="0" borderId="2" xfId="6" applyNumberFormat="1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</cellXfs>
  <cellStyles count="7">
    <cellStyle name="Bình thường" xfId="0" builtinId="0"/>
    <cellStyle name="Dấu phẩy" xfId="6" builtinId="3"/>
    <cellStyle name="Normal 2" xfId="1" xr:uid="{00000000-0005-0000-0000-000002000000}"/>
    <cellStyle name="Normal 2 2" xfId="2" xr:uid="{00000000-0005-0000-0000-000003000000}"/>
    <cellStyle name="Normal 3" xfId="3" xr:uid="{00000000-0005-0000-0000-000004000000}"/>
    <cellStyle name="Normal 3 3" xfId="4" xr:uid="{00000000-0005-0000-0000-000005000000}"/>
    <cellStyle name="Normal_Sheet1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8283</xdr:colOff>
      <xdr:row>0</xdr:row>
      <xdr:rowOff>0</xdr:rowOff>
    </xdr:from>
    <xdr:to>
      <xdr:col>2</xdr:col>
      <xdr:colOff>151144</xdr:colOff>
      <xdr:row>2</xdr:row>
      <xdr:rowOff>189174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18" y="0"/>
          <a:ext cx="1020817" cy="653000"/>
        </a:xfrm>
        <a:prstGeom prst="rect">
          <a:avLst/>
        </a:prstGeom>
      </xdr:spPr>
    </xdr:pic>
    <xdr:clientData/>
  </xdr:twoCellAnchor>
  <xdr:twoCellAnchor editAs="oneCell">
    <xdr:from>
      <xdr:col>1</xdr:col>
      <xdr:colOff>46383</xdr:colOff>
      <xdr:row>62</xdr:row>
      <xdr:rowOff>7095</xdr:rowOff>
    </xdr:from>
    <xdr:to>
      <xdr:col>3</xdr:col>
      <xdr:colOff>178904</xdr:colOff>
      <xdr:row>73</xdr:row>
      <xdr:rowOff>104773</xdr:rowOff>
    </xdr:to>
    <xdr:pic>
      <xdr:nvPicPr>
        <xdr:cNvPr id="4" name="&lt;#QrPayment&gt;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8383" y="12033443"/>
          <a:ext cx="2014330" cy="19198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showZeros="0" tabSelected="1" zoomScale="115" zoomScaleNormal="115" workbookViewId="0">
      <selection activeCell="J8" sqref="J8"/>
    </sheetView>
  </sheetViews>
  <sheetFormatPr defaultColWidth="9.140625" defaultRowHeight="12.75"/>
  <cols>
    <col min="1" max="1" width="11.140625" style="20" customWidth="1"/>
    <col min="2" max="2" width="13.140625" style="20" customWidth="1"/>
    <col min="3" max="3" width="14.28515625" style="20" customWidth="1"/>
    <col min="4" max="4" width="14.85546875" style="20" customWidth="1"/>
    <col min="5" max="5" width="17.42578125" style="20" customWidth="1"/>
    <col min="6" max="6" width="14.7109375" style="21" customWidth="1"/>
    <col min="7" max="7" width="11.140625" style="21" customWidth="1"/>
    <col min="8" max="8" width="6.85546875" style="22" customWidth="1"/>
    <col min="9" max="16384" width="9.140625" style="20"/>
  </cols>
  <sheetData>
    <row r="1" spans="1:8" ht="21" customHeight="1">
      <c r="E1" s="73" t="s">
        <v>0</v>
      </c>
      <c r="F1" s="73"/>
      <c r="G1" s="73"/>
      <c r="H1" s="73"/>
    </row>
    <row r="2" spans="1:8" ht="15.75" customHeight="1">
      <c r="E2" s="74" t="s">
        <v>1</v>
      </c>
      <c r="F2" s="74"/>
      <c r="G2" s="74"/>
      <c r="H2" s="74"/>
    </row>
    <row r="3" spans="1:8" ht="19.5" customHeight="1">
      <c r="E3" s="75" t="s">
        <v>2</v>
      </c>
      <c r="F3" s="75"/>
      <c r="G3" s="75"/>
      <c r="H3" s="75"/>
    </row>
    <row r="4" spans="1:8" ht="3" customHeight="1"/>
    <row r="5" spans="1:8" s="23" customFormat="1" ht="19.899999999999999" customHeight="1">
      <c r="A5" s="76" t="s">
        <v>3</v>
      </c>
      <c r="B5" s="76"/>
      <c r="C5" s="76"/>
      <c r="D5" s="76"/>
      <c r="E5" s="76"/>
      <c r="F5" s="76"/>
      <c r="G5" s="76"/>
      <c r="H5" s="76"/>
    </row>
    <row r="6" spans="1:8" s="23" customFormat="1" ht="3.75" customHeight="1">
      <c r="B6" s="42"/>
      <c r="C6" s="42"/>
      <c r="D6" s="42"/>
      <c r="E6" s="42"/>
      <c r="F6" s="43"/>
      <c r="G6" s="43"/>
      <c r="H6" s="44"/>
    </row>
    <row r="7" spans="1:8" s="23" customFormat="1" ht="3.75" customHeight="1">
      <c r="B7" s="42"/>
      <c r="C7" s="42"/>
      <c r="D7" s="42"/>
      <c r="E7" s="42"/>
      <c r="F7" s="43"/>
      <c r="G7" s="43"/>
      <c r="H7" s="44"/>
    </row>
    <row r="8" spans="1:8" s="23" customFormat="1" ht="16.149999999999999" customHeight="1">
      <c r="A8" s="20" t="s">
        <v>4</v>
      </c>
      <c r="B8"/>
      <c r="C8"/>
      <c r="D8"/>
      <c r="F8" s="45"/>
      <c r="G8" s="45"/>
      <c r="H8" s="39"/>
    </row>
    <row r="9" spans="1:8" s="23" customFormat="1" ht="16.149999999999999" customHeight="1">
      <c r="A9" s="23" t="s">
        <v>5</v>
      </c>
      <c r="B9" s="24"/>
      <c r="D9" s="24"/>
      <c r="F9" s="45"/>
      <c r="G9" s="45"/>
      <c r="H9" s="39"/>
    </row>
    <row r="10" spans="1:8" s="23" customFormat="1" ht="10.5" customHeight="1">
      <c r="A10" s="56"/>
      <c r="B10" s="56"/>
      <c r="C10" s="56"/>
      <c r="D10" s="56"/>
      <c r="E10" s="56"/>
      <c r="F10" s="56"/>
      <c r="G10" s="56"/>
      <c r="H10" s="56"/>
    </row>
    <row r="11" spans="1:8" s="23" customFormat="1" ht="0.75" customHeight="1">
      <c r="A11" s="56"/>
      <c r="B11" s="56"/>
      <c r="C11" s="56"/>
      <c r="D11" s="56"/>
      <c r="E11" s="56"/>
      <c r="F11" s="56"/>
      <c r="G11" s="56"/>
      <c r="H11" s="56"/>
    </row>
    <row r="12" spans="1:8" s="23" customFormat="1" ht="31.9" customHeight="1">
      <c r="A12" s="53" t="s">
        <v>6</v>
      </c>
      <c r="B12" s="59" t="s">
        <v>7</v>
      </c>
      <c r="C12" s="59"/>
      <c r="D12" s="59"/>
      <c r="E12" s="59"/>
      <c r="F12" s="59"/>
      <c r="G12" s="59" t="s">
        <v>8</v>
      </c>
      <c r="H12" s="59"/>
    </row>
    <row r="13" spans="1:8" s="23" customFormat="1" ht="3" customHeight="1">
      <c r="A13" s="25"/>
      <c r="B13" s="25"/>
      <c r="C13" s="25"/>
      <c r="D13" s="25"/>
      <c r="E13" s="25"/>
      <c r="F13" s="25"/>
      <c r="G13" s="25"/>
      <c r="H13" s="25"/>
    </row>
    <row r="14" spans="1:8" s="23" customFormat="1" ht="18" customHeight="1">
      <c r="A14" s="79" t="s">
        <v>9</v>
      </c>
      <c r="B14" s="79"/>
      <c r="C14" s="79"/>
      <c r="D14" s="79"/>
      <c r="E14" s="79"/>
      <c r="F14" s="79"/>
      <c r="G14" s="79"/>
      <c r="H14" s="79"/>
    </row>
    <row r="15" spans="1:8" s="23" customFormat="1" ht="16.149999999999999" customHeight="1">
      <c r="A15" s="26">
        <v>1</v>
      </c>
      <c r="B15" s="86" t="s">
        <v>10</v>
      </c>
      <c r="C15" s="86"/>
      <c r="D15" s="86"/>
      <c r="E15" s="86"/>
      <c r="F15" s="86"/>
      <c r="G15" s="58" t="s">
        <v>11</v>
      </c>
      <c r="H15" s="58"/>
    </row>
    <row r="16" spans="1:8" s="23" customFormat="1" ht="18" customHeight="1">
      <c r="A16" s="67" t="s">
        <v>12</v>
      </c>
      <c r="B16" s="67"/>
      <c r="C16" s="67"/>
      <c r="D16" s="67"/>
      <c r="E16" s="67"/>
      <c r="F16" s="67"/>
      <c r="G16" s="67"/>
      <c r="H16" s="67"/>
    </row>
    <row r="17" spans="1:8" s="23" customFormat="1" ht="4.5" hidden="1" customHeight="1">
      <c r="A17" s="46"/>
      <c r="F17" s="45"/>
      <c r="G17" s="45"/>
      <c r="H17" s="39"/>
    </row>
    <row r="18" spans="1:8" s="23" customFormat="1" ht="31.9" customHeight="1">
      <c r="A18" s="53" t="s">
        <v>13</v>
      </c>
      <c r="B18" s="53" t="s">
        <v>14</v>
      </c>
      <c r="C18" s="53" t="s">
        <v>15</v>
      </c>
      <c r="D18" s="53" t="s">
        <v>16</v>
      </c>
      <c r="E18" s="53" t="s">
        <v>17</v>
      </c>
      <c r="F18" s="27" t="s">
        <v>18</v>
      </c>
      <c r="G18" s="87" t="s">
        <v>8</v>
      </c>
      <c r="H18" s="88"/>
    </row>
    <row r="19" spans="1:8" s="23" customFormat="1" ht="16.149999999999999" customHeight="1">
      <c r="A19" s="47"/>
      <c r="B19" s="33" t="s">
        <v>19</v>
      </c>
      <c r="C19" s="33" t="s">
        <v>20</v>
      </c>
      <c r="D19" s="33" t="s">
        <v>21</v>
      </c>
      <c r="E19" s="33" t="e">
        <f>D19-C19</f>
        <v>#VALUE!</v>
      </c>
      <c r="F19" s="48"/>
      <c r="G19" s="80"/>
      <c r="H19" s="81"/>
    </row>
    <row r="20" spans="1:8" s="23" customFormat="1" ht="16.149999999999999" customHeight="1">
      <c r="A20" s="82" t="s">
        <v>22</v>
      </c>
      <c r="B20" s="83"/>
      <c r="C20" s="83"/>
      <c r="D20" s="84"/>
      <c r="E20" s="33" t="s">
        <v>23</v>
      </c>
      <c r="F20" s="34" t="s">
        <v>24</v>
      </c>
      <c r="G20" s="77" t="s">
        <v>25</v>
      </c>
      <c r="H20" s="78"/>
    </row>
    <row r="21" spans="1:8" s="23" customFormat="1" ht="16.149999999999999" customHeight="1">
      <c r="A21" s="85" t="s">
        <v>26</v>
      </c>
      <c r="B21" s="85"/>
      <c r="C21" s="85"/>
      <c r="D21" s="85"/>
      <c r="E21" s="85"/>
      <c r="F21" s="85"/>
      <c r="G21" s="77" t="s">
        <v>27</v>
      </c>
      <c r="H21" s="78"/>
    </row>
    <row r="22" spans="1:8" s="23" customFormat="1" ht="16.149999999999999" customHeight="1">
      <c r="A22" s="89" t="s">
        <v>28</v>
      </c>
      <c r="B22" s="90"/>
      <c r="C22" s="90"/>
      <c r="D22" s="90"/>
      <c r="E22" s="90"/>
      <c r="F22" s="91"/>
      <c r="G22" s="77" t="s">
        <v>29</v>
      </c>
      <c r="H22" s="78"/>
    </row>
    <row r="23" spans="1:8" s="23" customFormat="1" ht="16.149999999999999" customHeight="1">
      <c r="A23" s="89" t="s">
        <v>30</v>
      </c>
      <c r="B23" s="90"/>
      <c r="C23" s="90"/>
      <c r="D23" s="90"/>
      <c r="E23" s="90"/>
      <c r="F23" s="91"/>
      <c r="G23" s="77" t="e">
        <f>G21-G22</f>
        <v>#VALUE!</v>
      </c>
      <c r="H23" s="78"/>
    </row>
    <row r="24" spans="1:8" s="23" customFormat="1" ht="16.149999999999999" customHeight="1">
      <c r="A24" s="89" t="s">
        <v>31</v>
      </c>
      <c r="B24" s="90"/>
      <c r="C24" s="90"/>
      <c r="D24" s="90"/>
      <c r="E24" s="90"/>
      <c r="F24" s="91"/>
      <c r="G24" s="77" t="e">
        <f>G23*0.08</f>
        <v>#VALUE!</v>
      </c>
      <c r="H24" s="78"/>
    </row>
    <row r="25" spans="1:8" s="23" customFormat="1" ht="16.149999999999999" customHeight="1">
      <c r="A25" s="89" t="s">
        <v>32</v>
      </c>
      <c r="B25" s="90"/>
      <c r="C25" s="90"/>
      <c r="D25" s="90"/>
      <c r="E25" s="90"/>
      <c r="F25" s="91"/>
      <c r="G25" s="72" t="e">
        <f>G23+G24</f>
        <v>#VALUE!</v>
      </c>
      <c r="H25" s="65"/>
    </row>
    <row r="26" spans="1:8" s="23" customFormat="1" ht="18" customHeight="1">
      <c r="A26" s="79" t="s">
        <v>33</v>
      </c>
      <c r="B26" s="79"/>
      <c r="C26" s="79"/>
      <c r="D26" s="79"/>
      <c r="E26" s="79"/>
      <c r="F26" s="79"/>
      <c r="G26" s="79"/>
      <c r="H26" s="79"/>
    </row>
    <row r="27" spans="1:8" s="23" customFormat="1" ht="3" hidden="1" customHeight="1">
      <c r="A27" s="46"/>
      <c r="F27" s="45"/>
      <c r="G27" s="45"/>
      <c r="H27" s="39"/>
    </row>
    <row r="28" spans="1:8" s="23" customFormat="1" ht="31.9" customHeight="1">
      <c r="A28" s="53" t="s">
        <v>13</v>
      </c>
      <c r="B28" s="53" t="s">
        <v>34</v>
      </c>
      <c r="C28" s="53" t="s">
        <v>35</v>
      </c>
      <c r="D28" s="53" t="s">
        <v>36</v>
      </c>
      <c r="E28" s="53" t="s">
        <v>37</v>
      </c>
      <c r="F28" s="27" t="s">
        <v>18</v>
      </c>
      <c r="G28" s="87" t="s">
        <v>8</v>
      </c>
      <c r="H28" s="88"/>
    </row>
    <row r="29" spans="1:8" s="23" customFormat="1" ht="16.149999999999999" customHeight="1">
      <c r="A29" s="47"/>
      <c r="B29" s="33" t="s">
        <v>38</v>
      </c>
      <c r="C29" s="33" t="s">
        <v>39</v>
      </c>
      <c r="D29" s="33" t="s">
        <v>40</v>
      </c>
      <c r="E29" s="33" t="e">
        <f>D29-C29</f>
        <v>#VALUE!</v>
      </c>
      <c r="F29" s="48"/>
      <c r="G29" s="80"/>
      <c r="H29" s="81"/>
    </row>
    <row r="30" spans="1:8" s="23" customFormat="1" ht="16.149999999999999" customHeight="1">
      <c r="A30" s="82" t="s">
        <v>41</v>
      </c>
      <c r="B30" s="83"/>
      <c r="C30" s="83"/>
      <c r="D30" s="84"/>
      <c r="E30" s="33" t="s">
        <v>42</v>
      </c>
      <c r="F30" s="34" t="s">
        <v>43</v>
      </c>
      <c r="G30" s="77" t="s">
        <v>44</v>
      </c>
      <c r="H30" s="78"/>
    </row>
    <row r="31" spans="1:8" s="23" customFormat="1" ht="16.149999999999999" customHeight="1">
      <c r="A31" s="93" t="s">
        <v>26</v>
      </c>
      <c r="B31" s="93"/>
      <c r="C31" s="93"/>
      <c r="D31" s="93"/>
      <c r="E31" s="93"/>
      <c r="F31" s="93"/>
      <c r="G31" s="77" t="s">
        <v>45</v>
      </c>
      <c r="H31" s="78"/>
    </row>
    <row r="32" spans="1:8" s="23" customFormat="1" ht="16.149999999999999" customHeight="1">
      <c r="A32" s="89" t="s">
        <v>28</v>
      </c>
      <c r="B32" s="90"/>
      <c r="C32" s="90"/>
      <c r="D32" s="90"/>
      <c r="E32" s="90"/>
      <c r="F32" s="91"/>
      <c r="G32" s="77" t="s">
        <v>46</v>
      </c>
      <c r="H32" s="78"/>
    </row>
    <row r="33" spans="1:8" s="23" customFormat="1" ht="16.149999999999999" customHeight="1">
      <c r="A33" s="89" t="s">
        <v>30</v>
      </c>
      <c r="B33" s="90"/>
      <c r="C33" s="90"/>
      <c r="D33" s="90"/>
      <c r="E33" s="90"/>
      <c r="F33" s="91"/>
      <c r="G33" s="77" t="e">
        <f>G31-G32</f>
        <v>#VALUE!</v>
      </c>
      <c r="H33" s="78"/>
    </row>
    <row r="34" spans="1:8" s="23" customFormat="1" ht="16.149999999999999" customHeight="1">
      <c r="A34" s="68" t="s">
        <v>47</v>
      </c>
      <c r="B34" s="69"/>
      <c r="C34" s="69"/>
      <c r="D34" s="69"/>
      <c r="E34" s="69"/>
      <c r="F34" s="70"/>
      <c r="G34" s="77" t="e">
        <f>G33*0.05</f>
        <v>#VALUE!</v>
      </c>
      <c r="H34" s="78"/>
    </row>
    <row r="35" spans="1:8" s="23" customFormat="1" ht="16.149999999999999" customHeight="1">
      <c r="A35" s="68" t="s">
        <v>48</v>
      </c>
      <c r="B35" s="69"/>
      <c r="C35" s="69"/>
      <c r="D35" s="69"/>
      <c r="E35" s="69"/>
      <c r="F35" s="70"/>
      <c r="G35" s="77" t="e">
        <f>G33*0.1</f>
        <v>#VALUE!</v>
      </c>
      <c r="H35" s="78"/>
    </row>
    <row r="36" spans="1:8" s="23" customFormat="1" ht="16.149999999999999" customHeight="1">
      <c r="A36" s="68" t="s">
        <v>49</v>
      </c>
      <c r="B36" s="69"/>
      <c r="C36" s="69"/>
      <c r="D36" s="69"/>
      <c r="E36" s="69"/>
      <c r="F36" s="70"/>
      <c r="G36" s="72" t="e">
        <f>G33+G34+G35</f>
        <v>#VALUE!</v>
      </c>
      <c r="H36" s="65"/>
    </row>
    <row r="37" spans="1:8" s="23" customFormat="1" ht="18" customHeight="1">
      <c r="A37" s="67" t="s">
        <v>50</v>
      </c>
      <c r="B37" s="67"/>
      <c r="C37" s="67"/>
      <c r="D37" s="71" t="s">
        <v>51</v>
      </c>
      <c r="E37" s="71"/>
      <c r="F37" s="71"/>
      <c r="G37" s="71"/>
      <c r="H37" s="71"/>
    </row>
    <row r="38" spans="1:8" s="23" customFormat="1" ht="2.25" hidden="1" customHeight="1">
      <c r="A38" s="46"/>
      <c r="F38" s="45"/>
      <c r="G38" s="45"/>
      <c r="H38" s="39"/>
    </row>
    <row r="39" spans="1:8" s="23" customFormat="1" ht="31.9" customHeight="1">
      <c r="A39" s="100" t="s">
        <v>52</v>
      </c>
      <c r="B39" s="101"/>
      <c r="C39" s="101"/>
      <c r="D39" s="101"/>
      <c r="E39" s="102"/>
      <c r="F39" s="51" t="s">
        <v>53</v>
      </c>
      <c r="G39" s="103" t="s">
        <v>8</v>
      </c>
      <c r="H39" s="103"/>
    </row>
    <row r="40" spans="1:8" s="23" customFormat="1" ht="16.149999999999999" customHeight="1">
      <c r="A40" s="62" t="s">
        <v>54</v>
      </c>
      <c r="B40" s="63"/>
      <c r="C40" s="63"/>
      <c r="D40" s="63"/>
      <c r="E40" s="64"/>
      <c r="F40" s="41" t="s">
        <v>55</v>
      </c>
      <c r="G40" s="61" t="s">
        <v>56</v>
      </c>
      <c r="H40" s="61"/>
    </row>
    <row r="41" spans="1:8" s="23" customFormat="1" ht="16.149999999999999" customHeight="1">
      <c r="A41" s="62" t="s">
        <v>57</v>
      </c>
      <c r="B41" s="63"/>
      <c r="C41" s="63"/>
      <c r="D41" s="63"/>
      <c r="E41" s="64"/>
      <c r="F41" s="28" t="s">
        <v>58</v>
      </c>
      <c r="G41" s="61" t="s">
        <v>59</v>
      </c>
      <c r="H41" s="61"/>
    </row>
    <row r="42" spans="1:8" s="23" customFormat="1" ht="16.149999999999999" customHeight="1">
      <c r="A42" s="62" t="s">
        <v>60</v>
      </c>
      <c r="B42" s="63"/>
      <c r="C42" s="63"/>
      <c r="D42" s="63"/>
      <c r="E42" s="64"/>
      <c r="F42" s="28" t="s">
        <v>61</v>
      </c>
      <c r="G42" s="61" t="s">
        <v>62</v>
      </c>
      <c r="H42" s="61"/>
    </row>
    <row r="43" spans="1:8" s="23" customFormat="1" ht="16.149999999999999" customHeight="1">
      <c r="A43" s="62" t="s">
        <v>63</v>
      </c>
      <c r="B43" s="63"/>
      <c r="C43" s="63"/>
      <c r="D43" s="63"/>
      <c r="E43" s="64"/>
      <c r="F43" s="28" t="s">
        <v>64</v>
      </c>
      <c r="G43" s="61" t="s">
        <v>65</v>
      </c>
      <c r="H43" s="61"/>
    </row>
    <row r="44" spans="1:8" s="23" customFormat="1" ht="16.149999999999999" customHeight="1">
      <c r="A44" s="62" t="s">
        <v>66</v>
      </c>
      <c r="B44" s="63"/>
      <c r="C44" s="63"/>
      <c r="D44" s="63"/>
      <c r="E44" s="64"/>
      <c r="F44" s="29" t="s">
        <v>67</v>
      </c>
      <c r="G44" s="61" t="s">
        <v>68</v>
      </c>
      <c r="H44" s="61"/>
    </row>
    <row r="45" spans="1:8" s="23" customFormat="1" ht="16.149999999999999" customHeight="1">
      <c r="A45" s="93" t="s">
        <v>69</v>
      </c>
      <c r="B45" s="93"/>
      <c r="C45" s="93"/>
      <c r="D45" s="93"/>
      <c r="E45" s="68"/>
      <c r="F45" s="30"/>
      <c r="G45" s="65" t="s">
        <v>70</v>
      </c>
      <c r="H45" s="66"/>
    </row>
    <row r="46" spans="1:8" s="23" customFormat="1" ht="1.5" customHeight="1">
      <c r="A46" s="60"/>
      <c r="B46" s="60"/>
      <c r="C46" s="60"/>
      <c r="D46" s="60"/>
      <c r="E46" s="31"/>
      <c r="F46" s="32"/>
      <c r="G46" s="49"/>
      <c r="H46" s="49"/>
    </row>
    <row r="47" spans="1:8" s="23" customFormat="1" ht="18" customHeight="1">
      <c r="A47" s="57" t="s">
        <v>71</v>
      </c>
      <c r="B47" s="57"/>
      <c r="C47" s="57"/>
      <c r="D47" s="57"/>
      <c r="E47" s="57"/>
      <c r="F47" s="57"/>
      <c r="G47" s="57"/>
      <c r="H47" s="57"/>
    </row>
    <row r="48" spans="1:8" s="23" customFormat="1" ht="31.9" customHeight="1">
      <c r="A48" s="94" t="s">
        <v>72</v>
      </c>
      <c r="B48" s="95"/>
      <c r="C48" s="96"/>
      <c r="D48" s="53" t="s">
        <v>73</v>
      </c>
      <c r="E48" s="53" t="s">
        <v>74</v>
      </c>
      <c r="F48" s="53" t="s">
        <v>75</v>
      </c>
      <c r="G48" s="59" t="s">
        <v>8</v>
      </c>
      <c r="H48" s="59"/>
    </row>
    <row r="49" spans="1:8" s="23" customFormat="1" ht="16.149999999999999" customHeight="1">
      <c r="A49" s="97"/>
      <c r="B49" s="98"/>
      <c r="C49" s="99"/>
      <c r="D49" s="33" t="s">
        <v>76</v>
      </c>
      <c r="E49" s="26" t="s">
        <v>77</v>
      </c>
      <c r="F49" s="34" t="e">
        <f>D49*E49</f>
        <v>#VALUE!</v>
      </c>
      <c r="G49" s="58" t="s">
        <v>78</v>
      </c>
      <c r="H49" s="58"/>
    </row>
    <row r="50" spans="1:8" s="23" customFormat="1" ht="18" customHeight="1">
      <c r="A50" s="35" t="s">
        <v>79</v>
      </c>
      <c r="B50" s="35"/>
      <c r="C50" s="35"/>
      <c r="D50" s="35"/>
      <c r="E50" s="35"/>
      <c r="F50" s="36" t="s">
        <v>80</v>
      </c>
      <c r="G50" s="37"/>
      <c r="H50" s="38"/>
    </row>
    <row r="51" spans="1:8" s="23" customFormat="1" ht="16.149999999999999" customHeight="1">
      <c r="A51" s="104" t="s">
        <v>81</v>
      </c>
      <c r="B51" s="104"/>
      <c r="C51" s="104"/>
      <c r="D51" s="105" t="s">
        <v>82</v>
      </c>
      <c r="E51" s="105"/>
      <c r="F51" s="105"/>
      <c r="G51" s="105"/>
      <c r="H51" s="105"/>
    </row>
    <row r="52" spans="1:8" s="23" customFormat="1" ht="48" customHeight="1">
      <c r="A52" s="56" t="s">
        <v>83</v>
      </c>
      <c r="B52" s="56"/>
      <c r="C52" s="56"/>
      <c r="D52" s="56"/>
      <c r="E52" s="56"/>
      <c r="F52" s="56"/>
      <c r="G52" s="56"/>
      <c r="H52" s="56"/>
    </row>
    <row r="53" spans="1:8" s="23" customFormat="1" ht="31.9" customHeight="1">
      <c r="A53" s="55" t="s">
        <v>84</v>
      </c>
      <c r="B53" s="55"/>
      <c r="C53" s="55"/>
      <c r="D53" s="55"/>
      <c r="E53" s="55"/>
      <c r="F53" s="55"/>
      <c r="G53" s="55"/>
      <c r="H53" s="55"/>
    </row>
    <row r="54" spans="1:8" s="23" customFormat="1" ht="16.149999999999999" customHeight="1">
      <c r="A54" s="54"/>
      <c r="B54" s="54"/>
      <c r="C54" s="54"/>
      <c r="D54" s="54"/>
      <c r="E54" s="54"/>
      <c r="F54" s="40"/>
      <c r="G54" s="40"/>
      <c r="H54" s="40"/>
    </row>
    <row r="55" spans="1:8" s="23" customFormat="1" ht="16.149999999999999" customHeight="1">
      <c r="A55" s="50" t="s">
        <v>85</v>
      </c>
      <c r="B55"/>
      <c r="C55"/>
      <c r="D55"/>
      <c r="E55"/>
      <c r="F55" s="40"/>
      <c r="G55" s="40"/>
      <c r="H55" s="40"/>
    </row>
    <row r="56" spans="1:8" s="23" customFormat="1" ht="16.149999999999999" customHeight="1">
      <c r="A56" s="50" t="s">
        <v>86</v>
      </c>
      <c r="B56"/>
      <c r="C56"/>
      <c r="D56"/>
      <c r="E56"/>
      <c r="F56" s="40"/>
      <c r="G56" s="40"/>
      <c r="H56" s="40"/>
    </row>
    <row r="57" spans="1:8" s="23" customFormat="1" ht="16.149999999999999" customHeight="1">
      <c r="A57" s="50" t="s">
        <v>87</v>
      </c>
      <c r="B57"/>
      <c r="C57"/>
      <c r="D57"/>
      <c r="E57"/>
      <c r="F57" s="40"/>
      <c r="G57" s="40"/>
      <c r="H57" s="40"/>
    </row>
    <row r="58" spans="1:8" s="23" customFormat="1" ht="16.149999999999999" customHeight="1">
      <c r="A58" s="50" t="s">
        <v>88</v>
      </c>
      <c r="B58"/>
      <c r="C58"/>
      <c r="D58"/>
      <c r="E58"/>
      <c r="F58"/>
      <c r="G58"/>
      <c r="H58" s="39"/>
    </row>
    <row r="59" spans="1:8" s="23" customFormat="1" ht="16.149999999999999" customHeight="1">
      <c r="A59" s="60" t="s">
        <v>89</v>
      </c>
      <c r="B59" s="60"/>
      <c r="C59" s="60"/>
      <c r="D59" s="60"/>
      <c r="E59" s="60" t="s">
        <v>90</v>
      </c>
      <c r="F59" s="60"/>
      <c r="G59" s="60"/>
      <c r="H59" s="52"/>
    </row>
    <row r="60" spans="1:8" s="23" customFormat="1" ht="16.149999999999999" customHeight="1">
      <c r="A60" s="60" t="s">
        <v>91</v>
      </c>
      <c r="B60" s="60"/>
      <c r="C60" s="60"/>
      <c r="D60" s="60"/>
      <c r="E60" s="60" t="s">
        <v>92</v>
      </c>
      <c r="F60" s="60"/>
      <c r="G60" s="60"/>
    </row>
    <row r="61" spans="1:8" s="23" customFormat="1" ht="16.149999999999999" customHeight="1">
      <c r="A61" s="92" t="s">
        <v>93</v>
      </c>
      <c r="B61" s="92"/>
      <c r="C61" s="92"/>
      <c r="D61" s="92"/>
      <c r="F61" s="45"/>
      <c r="G61" s="45"/>
      <c r="H61" s="39"/>
    </row>
  </sheetData>
  <dataConsolidate/>
  <mergeCells count="72">
    <mergeCell ref="A61:D61"/>
    <mergeCell ref="A24:F24"/>
    <mergeCell ref="A31:F31"/>
    <mergeCell ref="A25:F25"/>
    <mergeCell ref="A22:F22"/>
    <mergeCell ref="A23:F23"/>
    <mergeCell ref="A48:C49"/>
    <mergeCell ref="A45:E45"/>
    <mergeCell ref="E59:G59"/>
    <mergeCell ref="A60:D60"/>
    <mergeCell ref="E60:G60"/>
    <mergeCell ref="A39:E39"/>
    <mergeCell ref="G39:H39"/>
    <mergeCell ref="A51:C51"/>
    <mergeCell ref="D51:H51"/>
    <mergeCell ref="A59:D59"/>
    <mergeCell ref="G34:H34"/>
    <mergeCell ref="G18:H18"/>
    <mergeCell ref="G22:H22"/>
    <mergeCell ref="G23:H23"/>
    <mergeCell ref="G24:H24"/>
    <mergeCell ref="A26:H26"/>
    <mergeCell ref="A34:F34"/>
    <mergeCell ref="G25:H25"/>
    <mergeCell ref="G28:H28"/>
    <mergeCell ref="A30:D30"/>
    <mergeCell ref="A32:F32"/>
    <mergeCell ref="G32:H32"/>
    <mergeCell ref="A33:F33"/>
    <mergeCell ref="A16:H16"/>
    <mergeCell ref="G20:H20"/>
    <mergeCell ref="G29:H29"/>
    <mergeCell ref="G30:H30"/>
    <mergeCell ref="G31:H31"/>
    <mergeCell ref="E1:H1"/>
    <mergeCell ref="E2:H2"/>
    <mergeCell ref="E3:H3"/>
    <mergeCell ref="A5:H5"/>
    <mergeCell ref="G35:H35"/>
    <mergeCell ref="G33:H33"/>
    <mergeCell ref="A10:H11"/>
    <mergeCell ref="A14:H14"/>
    <mergeCell ref="B12:F12"/>
    <mergeCell ref="G19:H19"/>
    <mergeCell ref="G12:H12"/>
    <mergeCell ref="G15:H15"/>
    <mergeCell ref="G21:H21"/>
    <mergeCell ref="A20:D20"/>
    <mergeCell ref="A21:F21"/>
    <mergeCell ref="B15:F15"/>
    <mergeCell ref="A37:C37"/>
    <mergeCell ref="A35:F35"/>
    <mergeCell ref="A36:F36"/>
    <mergeCell ref="D37:H37"/>
    <mergeCell ref="G36:H36"/>
    <mergeCell ref="A46:D46"/>
    <mergeCell ref="G40:H40"/>
    <mergeCell ref="G41:H41"/>
    <mergeCell ref="A40:E40"/>
    <mergeCell ref="A41:E41"/>
    <mergeCell ref="G45:H45"/>
    <mergeCell ref="A42:E42"/>
    <mergeCell ref="A43:E43"/>
    <mergeCell ref="A44:E44"/>
    <mergeCell ref="G42:H42"/>
    <mergeCell ref="G43:H43"/>
    <mergeCell ref="G44:H44"/>
    <mergeCell ref="A53:H53"/>
    <mergeCell ref="A52:H52"/>
    <mergeCell ref="A47:H47"/>
    <mergeCell ref="G49:H49"/>
    <mergeCell ref="G48:H48"/>
  </mergeCells>
  <printOptions horizontalCentered="1"/>
  <pageMargins left="0.59055118110236227" right="0.39370078740157483" top="0.39370078740157483" bottom="0.39370078740157483" header="0.39370078740157483" footer="0.39370078740157483"/>
  <pageSetup paperSize="9" scale="9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2"/>
  <sheetViews>
    <sheetView showZeros="0" workbookViewId="0">
      <selection activeCell="J9" sqref="J9"/>
    </sheetView>
  </sheetViews>
  <sheetFormatPr defaultColWidth="9.140625" defaultRowHeight="12.75"/>
  <cols>
    <col min="8" max="8" width="16" customWidth="1"/>
    <col min="9" max="9" width="26.85546875" bestFit="1" customWidth="1"/>
    <col min="10" max="10" width="29" customWidth="1"/>
  </cols>
  <sheetData>
    <row r="1" spans="1:14" ht="18.75">
      <c r="A1" s="1" t="s">
        <v>94</v>
      </c>
    </row>
    <row r="2" spans="1:14">
      <c r="F2" s="8" t="s">
        <v>95</v>
      </c>
      <c r="G2" s="9">
        <v>4</v>
      </c>
      <c r="H2" s="9" t="s">
        <v>96</v>
      </c>
      <c r="I2" s="10">
        <v>41367</v>
      </c>
      <c r="J2" s="8" t="s">
        <v>97</v>
      </c>
      <c r="K2" s="9" t="s">
        <v>98</v>
      </c>
      <c r="L2" s="9" t="s">
        <v>99</v>
      </c>
    </row>
    <row r="3" spans="1:14">
      <c r="A3" t="s">
        <v>100</v>
      </c>
    </row>
    <row r="6" spans="1:14">
      <c r="A6" s="2" t="s">
        <v>101</v>
      </c>
      <c r="B6" s="3" t="s">
        <v>102</v>
      </c>
    </row>
    <row r="7" spans="1:14">
      <c r="B7" t="s">
        <v>103</v>
      </c>
    </row>
    <row r="8" spans="1:14">
      <c r="A8" s="4" t="s">
        <v>104</v>
      </c>
      <c r="H8" s="5" t="s">
        <v>105</v>
      </c>
      <c r="K8" s="5" t="s">
        <v>106</v>
      </c>
      <c r="M8" s="5" t="s">
        <v>107</v>
      </c>
    </row>
    <row r="9" spans="1:14" ht="76.5">
      <c r="A9" s="6" t="s">
        <v>108</v>
      </c>
      <c r="B9" s="6" t="s">
        <v>109</v>
      </c>
      <c r="C9" s="6" t="s">
        <v>110</v>
      </c>
      <c r="D9" s="7" t="s">
        <v>111</v>
      </c>
      <c r="E9" s="6"/>
      <c r="F9" s="6"/>
      <c r="H9" s="6" t="s">
        <v>112</v>
      </c>
      <c r="I9" s="6" t="s">
        <v>113</v>
      </c>
      <c r="K9" s="7" t="s">
        <v>114</v>
      </c>
      <c r="M9" s="6" t="s">
        <v>115</v>
      </c>
      <c r="N9" s="6" t="s">
        <v>116</v>
      </c>
    </row>
    <row r="10" spans="1:14">
      <c r="M10" s="11"/>
      <c r="N10" s="11"/>
    </row>
    <row r="11" spans="1:14" ht="14.25">
      <c r="H11" s="11" t="s">
        <v>117</v>
      </c>
      <c r="I11" s="12"/>
    </row>
    <row r="12" spans="1:14" ht="14.25">
      <c r="A12" s="11"/>
      <c r="B12" s="11"/>
      <c r="C12" s="11"/>
      <c r="H12" s="11" t="s">
        <v>118</v>
      </c>
      <c r="I12" s="13"/>
    </row>
    <row r="20" spans="8:10" ht="15.75" customHeight="1">
      <c r="H20" s="11" t="s">
        <v>119</v>
      </c>
      <c r="I20" s="15"/>
      <c r="J20" t="s">
        <v>120</v>
      </c>
    </row>
    <row r="21" spans="8:10" ht="15">
      <c r="H21" s="11" t="s">
        <v>121</v>
      </c>
      <c r="I21" s="16"/>
      <c r="J21" t="s">
        <v>122</v>
      </c>
    </row>
    <row r="22" spans="8:10">
      <c r="I22" s="17"/>
    </row>
    <row r="23" spans="8:10">
      <c r="I23" s="17"/>
    </row>
    <row r="24" spans="8:10">
      <c r="I24" s="17"/>
    </row>
    <row r="25" spans="8:10">
      <c r="I25" s="17"/>
    </row>
    <row r="27" spans="8:10">
      <c r="I27" s="18"/>
    </row>
    <row r="28" spans="8:10">
      <c r="I28" s="18"/>
    </row>
    <row r="29" spans="8:10">
      <c r="I29" s="18"/>
    </row>
    <row r="30" spans="8:10">
      <c r="I30" s="18"/>
    </row>
    <row r="31" spans="8:10">
      <c r="I31" s="18"/>
    </row>
    <row r="32" spans="8:10">
      <c r="I32" s="18"/>
    </row>
    <row r="34" spans="9:9">
      <c r="I34" s="17"/>
    </row>
    <row r="35" spans="9:9">
      <c r="I35" s="17"/>
    </row>
    <row r="36" spans="9:9">
      <c r="I36" s="17"/>
    </row>
    <row r="37" spans="9:9">
      <c r="I37" s="17"/>
    </row>
    <row r="38" spans="9:9">
      <c r="I38" s="17"/>
    </row>
    <row r="39" spans="9:9">
      <c r="I39" s="17"/>
    </row>
    <row r="42" spans="9:9">
      <c r="I42" s="14"/>
    </row>
    <row r="43" spans="9:9">
      <c r="I43" s="14"/>
    </row>
    <row r="44" spans="9:9">
      <c r="I44" s="14"/>
    </row>
    <row r="45" spans="9:9">
      <c r="I45" s="14"/>
    </row>
    <row r="47" spans="9:9">
      <c r="I47" s="19"/>
    </row>
    <row r="48" spans="9:9">
      <c r="I48" s="19"/>
    </row>
    <row r="49" spans="9:9">
      <c r="I49" s="19"/>
    </row>
    <row r="50" spans="9:9">
      <c r="I50" s="19"/>
    </row>
    <row r="51" spans="9:9">
      <c r="I51" s="19"/>
    </row>
    <row r="52" spans="9:9">
      <c r="I52" s="19"/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D906619335A24986DC3094F8C02D4E" ma:contentTypeVersion="0" ma:contentTypeDescription="Create a new document." ma:contentTypeScope="" ma:versionID="3e065893689238839dec35d36a6f0824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026E63-99FF-4281-857D-B96C9732E155}"/>
</file>

<file path=customXml/itemProps2.xml><?xml version="1.0" encoding="utf-8"?>
<ds:datastoreItem xmlns:ds="http://schemas.openxmlformats.org/officeDocument/2006/customXml" ds:itemID="{979B3429-53DE-4AEA-80D4-5931CC4796F9}"/>
</file>

<file path=customXml/itemProps3.xml><?xml version="1.0" encoding="utf-8"?>
<ds:datastoreItem xmlns:ds="http://schemas.openxmlformats.org/officeDocument/2006/customXml" ds:itemID="{372E8F0D-CC6E-4F69-BA84-42FB304926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taihv</dc:creator>
  <cp:keywords/>
  <dc:description/>
  <cp:lastModifiedBy/>
  <cp:revision/>
  <dcterms:created xsi:type="dcterms:W3CDTF">2014-09-21T02:17:58Z</dcterms:created>
  <dcterms:modified xsi:type="dcterms:W3CDTF">2025-09-10T06:25:31Z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0x0101005ED906619335A24986DC3094F8C02D4E</vt:lpwstr>
  </property>
</Properties>
</file>