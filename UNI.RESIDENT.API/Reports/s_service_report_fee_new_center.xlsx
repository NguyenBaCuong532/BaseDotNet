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E:\s_service\UNI.RESIDENT.API\Reports\"/>
    </mc:Choice>
  </mc:AlternateContent>
  <xr:revisionPtr revIDLastSave="0" documentId="13_ncr:1_{0F6836AD-A96A-4CFD-A179-6278EE95F8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BT9.2025" sheetId="1" r:id="rId1"/>
    <sheet name="&lt;#Config&gt;" sheetId="2" r:id="rId2"/>
  </sheets>
  <definedNames>
    <definedName name="__Data0__">'TBT9.2025'!$A$1:$H$86</definedName>
    <definedName name="__Data1__">'TBT9.2025'!$A$11:$H$11</definedName>
    <definedName name="__Data2__">'TBT9.2025'!$A$57:$H$64</definedName>
    <definedName name="__Data3__">'TBT9.2025'!$A$67:$G$67</definedName>
    <definedName name="__Data4__">'TBT9.2025'!$A$16:$H$30</definedName>
    <definedName name="__Data5__">'TBT9.2025'!$A$17:$H$17</definedName>
    <definedName name="__Data6__">'TBT9.2025'!$A$23:$H$23</definedName>
    <definedName name="__Data7__">'TBT9.2025'!$A$35:$H$51</definedName>
    <definedName name="__Data8__">'TBT9.2025'!$A$36:$H$36</definedName>
    <definedName name="__Data9__">'TBT9.2025'!$A$42:$H$42</definedName>
    <definedName name="__DataElectric__">'TBT9.2025'!$A$26:$H$28</definedName>
    <definedName name="__DataWater__">'TBT9.2025'!$A$46:$H$51</definedName>
    <definedName name="RemoveElec">'TBT9.2025'!$A$20:$H$24</definedName>
    <definedName name="RemoveWater">'TBT9.2025'!$A$39:$H$43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D41" i="1" s="1"/>
  <c r="E41" i="1" s="1"/>
  <c r="G64" i="1"/>
  <c r="E16" i="1"/>
  <c r="D22" i="1" s="1"/>
  <c r="E22" i="1" s="1"/>
  <c r="H67" i="1"/>
  <c r="H51" i="1"/>
  <c r="H30" i="1"/>
  <c r="A65" i="1"/>
  <c r="A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Van Minh</author>
  </authors>
  <commentList>
    <comment ref="L2" authorId="0" shapeId="0" xr:uid="{B90FF630-E2AD-4E29-84E6-3657E404C51E}">
      <text>
        <r>
          <rPr>
            <sz val="9"/>
            <rFont val="Tahoma"/>
            <family val="2"/>
            <charset val="163"/>
          </rPr>
          <t>08-Oct-10 tqxiem Can chinh theo check List
13-10-10 tqxiem : Đổi lai tên tieu de báo cáo la
Danh sach nhan vien gia han hop dong</t>
        </r>
      </text>
    </comment>
  </commentList>
</comments>
</file>

<file path=xl/sharedStrings.xml><?xml version="1.0" encoding="utf-8"?>
<sst xmlns="http://schemas.openxmlformats.org/spreadsheetml/2006/main" count="201" uniqueCount="180">
  <si>
    <t>CỘNG HÒA XÃ HỘI CHỦ NGHĨA VIỆT NAM</t>
  </si>
  <si>
    <t>Độc lập - Tự do - Hạnh phúc</t>
  </si>
  <si>
    <t xml:space="preserve">Hà Nội, &lt;#StrDate&gt; </t>
  </si>
  <si>
    <t>THÔNG BÁO THU PHÍ/MONTHLY FEE NOTICE SỐ  &lt;#Data0.RoomCode&gt;</t>
  </si>
  <si>
    <r>
      <rPr>
        <i/>
        <u/>
        <sz val="12"/>
        <rFont val="Times New Roman"/>
        <family val="1"/>
      </rPr>
      <t xml:space="preserve">Kính gửi: </t>
    </r>
    <r>
      <rPr>
        <sz val="12"/>
        <rFont val="Times New Roman"/>
        <family val="1"/>
      </rPr>
      <t xml:space="preserve">Ông/Bà &lt;#Data0.FullName&gt;  </t>
    </r>
    <r>
      <rPr>
        <i/>
        <sz val="12"/>
        <rFont val="Times New Roman"/>
        <family val="1"/>
      </rPr>
      <t xml:space="preserve">           </t>
    </r>
  </si>
  <si>
    <t>Căn hộ/ Apartment: &lt;#Data0.RoomCode&gt;</t>
  </si>
  <si>
    <t>B2201</t>
  </si>
  <si>
    <r>
      <t xml:space="preserve">Ban quản lý vận hành tòa nhà </t>
    </r>
    <r>
      <rPr>
        <sz val="12"/>
        <color rgb="FFFF0000"/>
        <rFont val="Times New Roman"/>
        <family val="1"/>
      </rPr>
      <t>&lt;#Data0.ProjectName&gt;</t>
    </r>
    <r>
      <rPr>
        <sz val="12"/>
        <rFont val="Times New Roman"/>
        <family val="1"/>
      </rPr>
      <t xml:space="preserve"> xin trân trọng thông báo các loại phí như: điện, nước Tháng </t>
    </r>
    <r>
      <rPr>
        <sz val="12"/>
        <color rgb="FFFF0000"/>
        <rFont val="Times New Roman"/>
        <family val="1"/>
      </rPr>
      <t>&lt;#Data0.PeriodMonth&gt;/&lt;#Data0.PeriodYear&gt;</t>
    </r>
    <r>
      <rPr>
        <sz val="12"/>
        <rFont val="Times New Roman"/>
        <family val="1"/>
      </rPr>
      <t xml:space="preserve"> phí dịch vụ, gửi xe Tháng </t>
    </r>
    <r>
      <rPr>
        <sz val="12"/>
        <color rgb="FFFF0000"/>
        <rFont val="Times New Roman"/>
        <family val="1"/>
      </rPr>
      <t>&lt;#Data0.PeriodMonth&gt;/&lt;#Data0.PeriodYear&gt;</t>
    </r>
    <r>
      <rPr>
        <sz val="12"/>
        <rFont val="Times New Roman"/>
        <family val="1"/>
      </rPr>
      <t xml:space="preserve"> của Quý cư dân/ Khách hàng cụ thể như sau/</t>
    </r>
    <r>
      <rPr>
        <sz val="12"/>
        <color rgb="FFFF0000"/>
        <rFont val="Times New Roman"/>
        <family val="1"/>
      </rPr>
      <t xml:space="preserve"> &lt;#Data0.ProjectName&gt;</t>
    </r>
    <r>
      <rPr>
        <sz val="12"/>
        <rFont val="Times New Roman"/>
        <family val="1"/>
      </rPr>
      <t xml:space="preserve"> Building Management Board would like to inform electricity and water fee in</t>
    </r>
    <r>
      <rPr>
        <sz val="12"/>
        <color rgb="FFFF0000"/>
        <rFont val="Times New Roman"/>
        <family val="1"/>
      </rPr>
      <t xml:space="preserve"> &lt;#Data0.PeriodMonth&gt;/&lt;#Data0.PeriodYear&gt;</t>
    </r>
    <r>
      <rPr>
        <sz val="12"/>
        <rFont val="Times New Roman"/>
        <family val="1"/>
      </rPr>
      <t xml:space="preserve">, service fee and parking fee in </t>
    </r>
    <r>
      <rPr>
        <sz val="12"/>
        <color rgb="FFFF0000"/>
        <rFont val="Times New Roman"/>
        <family val="1"/>
      </rPr>
      <t>&lt;#Data0.PeriodMonth&gt;/&lt;#Data0.PeriodYear&gt;</t>
    </r>
    <r>
      <rPr>
        <sz val="12"/>
        <rFont val="Times New Roman"/>
        <family val="1"/>
      </rPr>
      <t xml:space="preserve"> for residents/customers specifically as follows:</t>
    </r>
  </si>
  <si>
    <t>1. Công nợ tồn cũ/Outstanding:</t>
  </si>
  <si>
    <t>Dịch vụ/
Service fee</t>
  </si>
  <si>
    <t>Phí gửi xe/
Parking fee</t>
  </si>
  <si>
    <t>Phí điện/
Electricity fee</t>
  </si>
  <si>
    <t>Phí nước/
Water fee</t>
  </si>
  <si>
    <t>Tổng cộng/
Total</t>
  </si>
  <si>
    <t>Ghi chú/
Notice</t>
  </si>
  <si>
    <t>Số tiền/ Amount</t>
  </si>
  <si>
    <t>&lt;#Data1.CommonFee&gt;</t>
  </si>
  <si>
    <t>&lt;#Data1.VehicleFee&gt;</t>
  </si>
  <si>
    <t>&lt;#Data1.ElectricFee&gt;</t>
  </si>
  <si>
    <t>&lt;#Data1.WaterFee&gt;</t>
  </si>
  <si>
    <t>&lt;#Data1.DebitFee&gt;</t>
  </si>
  <si>
    <t>&lt;#Data1.Note&gt;</t>
  </si>
  <si>
    <t>2.Phí điện sử dụng Tháng &lt;#Data0.PeriodMonth&gt;/Monthly &lt;#Data0.PeriodMonth&gt; electricity fee of !</t>
  </si>
  <si>
    <t>&lt;#ElecDt&gt;</t>
  </si>
  <si>
    <t>STT/
Numerical order</t>
  </si>
  <si>
    <t>Mã công tơ điện/
Electricity code</t>
  </si>
  <si>
    <t>Chỉ số đầu/
Start Index</t>
  </si>
  <si>
    <t>Chí số cuối/
New Index</t>
  </si>
  <si>
    <t>Số tiêu thụ điện trong kỳ/Electricity Consum</t>
  </si>
  <si>
    <t>Đơn giá/ Unit Price</t>
  </si>
  <si>
    <t>Thành tiền/
Amount</t>
  </si>
  <si>
    <t>&lt;#Data4.MeterSerial&gt;</t>
  </si>
  <si>
    <t>&lt;#Data4.FromNum&gt;</t>
  </si>
  <si>
    <t>&lt;#Aggregate(Sum;Data5;&lt;#Data5.Quantity&gt;)&gt;</t>
  </si>
  <si>
    <t>&lt;#Data5.PriceRangeElectric&gt;</t>
  </si>
  <si>
    <t>&lt;#Data5.Quantity&gt;</t>
  </si>
  <si>
    <t>&lt;#Data5.Price&gt;</t>
  </si>
  <si>
    <t>&lt;#Data5.Amount&gt;</t>
  </si>
  <si>
    <t>Tổng tiền điện chưa thuế/ Total without VAT: (1)</t>
  </si>
  <si>
    <t>&lt;#Aggregate(Sum;Data5;&lt;#Data5.Amount&gt;)&gt;</t>
  </si>
  <si>
    <t>&lt;#if(&lt;#CntElec&gt;=0;&lt;#delete range(RemoveElec;__)&gt;;)&gt;</t>
  </si>
  <si>
    <t>&lt;#ElecDt1&gt;</t>
  </si>
  <si>
    <t>&lt;#Aggregate(Sum;Data6;&lt;#Data6.Quantity&gt;)&gt;</t>
  </si>
  <si>
    <t>&lt;#Data6.PriceRangeElectric&gt;</t>
  </si>
  <si>
    <t>&lt;#Data6.Quantity&gt;</t>
  </si>
  <si>
    <t>&lt;#Data6.Price&gt;</t>
  </si>
  <si>
    <t>&lt;#Data6.Amount&gt;</t>
  </si>
  <si>
    <t>Tổng tiền điện chưa thuế/ Total without VAT: (2)</t>
  </si>
  <si>
    <t>&lt;#Aggregate(Sum;Data6;&lt;#Data6.Amount&gt;)&gt;</t>
  </si>
  <si>
    <t xml:space="preserve">  Tổng tiền điện sử dụng trong kỳ/Total electricity usage fee during the period:</t>
  </si>
  <si>
    <t>Tổng tiền điện trong kỳ chưa thuế/Total electricity bill for the period excluding VAT: (1)+(2)</t>
  </si>
  <si>
    <t>&lt;#Data4.Amount&gt;</t>
  </si>
  <si>
    <t>Thuế GTGT &lt;#Data4.VAT&gt; % /VAT  &lt;#Data4.VAT&gt; %</t>
  </si>
  <si>
    <t>&lt;#Data4.VATAmt&gt;</t>
  </si>
  <si>
    <r>
      <t xml:space="preserve">Tổng tiền thanh toán trong kỳ đã gồm thuế GTGT/ </t>
    </r>
    <r>
      <rPr>
        <i/>
        <sz val="13"/>
        <rFont val="Times New Roman"/>
        <family val="1"/>
      </rPr>
      <t>Total electricity bill for the period includes VAT</t>
    </r>
  </si>
  <si>
    <t>&lt;#Data4.TotalAmt&gt;</t>
  </si>
  <si>
    <r>
      <t xml:space="preserve">Số tiền điện đã thanh toán/ </t>
    </r>
    <r>
      <rPr>
        <i/>
        <sz val="13"/>
        <rFont val="Times New Roman"/>
        <family val="1"/>
      </rPr>
      <t>Electricity bill paid</t>
    </r>
  </si>
  <si>
    <t>&lt;#if(&lt;#Data4.PaidElectricFee&gt; ="0";0;&lt;#Data4.PaidElectricFee&gt;)&gt;</t>
  </si>
  <si>
    <t>Tổng tiền điện còn phải thanh toán trong kỳ/ Total electricity bill to be paid during the period</t>
  </si>
  <si>
    <t>3.Phí nước sử dụng Tháng &lt;#Data0.PeriodMonth&gt;/Monthly &lt;#Data0.PeriodMonth&gt; wate fee of !</t>
  </si>
  <si>
    <t>&lt;#WaterDt&gt;</t>
  </si>
  <si>
    <t>Mã công tơ nước
Water code</t>
  </si>
  <si>
    <t>Số tiêu thụ nước trong kỳ/Water Consum</t>
  </si>
  <si>
    <t>&lt;#Data7.MeterSerial&gt;</t>
  </si>
  <si>
    <t>&lt;#Data7.FromNum&gt;</t>
  </si>
  <si>
    <t>&lt;#Aggregate(Sum;Data8;&lt;#Data8.Quantity&gt;)&gt;</t>
  </si>
  <si>
    <t>&lt;#Data8.PriceRangeWater&gt;</t>
  </si>
  <si>
    <t>&lt;#Data8.Quantity&gt;</t>
  </si>
  <si>
    <t>&lt;#Data8.Price&gt;</t>
  </si>
  <si>
    <t>&lt;#Data8.Amount&gt;</t>
  </si>
  <si>
    <t>Tổng tiền nước chưa thuế/ Total without VAT: (3)</t>
  </si>
  <si>
    <t>&lt;#Aggregate(Sum;Data8;&lt;#Data8.Amount&gt;)&gt;</t>
  </si>
  <si>
    <t>&lt;#if(&lt;#CntWater&gt;=0;&lt;#delete range(RemoveWater;__)&gt;;)&gt;</t>
  </si>
  <si>
    <t>&lt;#WaterDt1&gt;</t>
  </si>
  <si>
    <t>&lt;#Aggregate(Sum;Data9;&lt;#Data9.Quantity&gt;)&gt;</t>
  </si>
  <si>
    <t>&lt;#Data9.PriceRangeWater&gt;</t>
  </si>
  <si>
    <t>&lt;#Data9.Quantity&gt;</t>
  </si>
  <si>
    <t>&lt;#Data9.Price&gt;</t>
  </si>
  <si>
    <t>&lt;#Data9.Amount&gt;</t>
  </si>
  <si>
    <t>Tổng tiền nước chưa thuế/ Total without VAT: (4)</t>
  </si>
  <si>
    <t>&lt;#Aggregate(Sum;Data9;&lt;#Data9.Amount&gt;)&gt;</t>
  </si>
  <si>
    <t xml:space="preserve">   Tổng tiền nước sử dụng trong kỳ/Total water bill for the period:</t>
  </si>
  <si>
    <r>
      <rPr>
        <sz val="12"/>
        <rFont val="Times New Roman"/>
        <family val="1"/>
      </rPr>
      <t>Tổng tiền nước trong kỳ chưa thuế</t>
    </r>
    <r>
      <rPr>
        <i/>
        <sz val="12"/>
        <rFont val="Times New Roman"/>
        <family val="1"/>
      </rPr>
      <t>/Total water bill for the period excluding VAT: (3)+(4)</t>
    </r>
  </si>
  <si>
    <t>&lt;#DataWater.Amount&gt;</t>
  </si>
  <si>
    <r>
      <t xml:space="preserve">Phí bảo vệ môi trường đối với NTSH 10%/ </t>
    </r>
    <r>
      <rPr>
        <i/>
        <sz val="13"/>
        <rFont val="Times New Roman"/>
        <family val="1"/>
      </rPr>
      <t>Environmental protection fee 10%</t>
    </r>
  </si>
  <si>
    <t>&lt;#DataWater.EnvironmentalFeeAmt&gt;</t>
  </si>
  <si>
    <r>
      <t xml:space="preserve">Thuế suất GTGT 5%/ </t>
    </r>
    <r>
      <rPr>
        <i/>
        <sz val="13"/>
        <rFont val="Times New Roman"/>
        <family val="1"/>
      </rPr>
      <t>VAT 5%</t>
    </r>
  </si>
  <si>
    <t>&lt;#DataWater.VATAmt&gt;</t>
  </si>
  <si>
    <r>
      <t xml:space="preserve">Tổng cộng tiền nước thanh toán đã gồm thuế/ </t>
    </r>
    <r>
      <rPr>
        <i/>
        <sz val="13"/>
        <rFont val="Times New Roman"/>
        <family val="1"/>
      </rPr>
      <t>Total water bill for the period includes tax</t>
    </r>
  </si>
  <si>
    <t>&lt;#DataWater.TotalAmt&gt;</t>
  </si>
  <si>
    <r>
      <t>Số tiền nước đã thanh toán/</t>
    </r>
    <r>
      <rPr>
        <i/>
        <sz val="13"/>
        <rFont val="Times New Roman"/>
        <family val="1"/>
      </rPr>
      <t>Water bill paid:</t>
    </r>
  </si>
  <si>
    <t>&lt;#if(&lt;#DataWater.PaidWaterFee&gt; ="0";0;&lt;#DataWater.PaidWaterFee&gt;)&gt;</t>
  </si>
  <si>
    <t>Tổng tiền nước còn phải thanh toán trong kỳ/ Total water bill to be paid during the period</t>
  </si>
  <si>
    <r>
      <t xml:space="preserve">Phí giữ xe/ </t>
    </r>
    <r>
      <rPr>
        <b/>
        <i/>
        <sz val="12"/>
        <rFont val="Times New Roman"/>
        <family val="1"/>
      </rPr>
      <t>Parking fee</t>
    </r>
  </si>
  <si>
    <r>
      <t xml:space="preserve">Số lượng xe/ </t>
    </r>
    <r>
      <rPr>
        <b/>
        <i/>
        <sz val="12"/>
        <rFont val="Times New Roman"/>
        <family val="1"/>
      </rPr>
      <t>Quantity</t>
    </r>
  </si>
  <si>
    <t>Thành tiền/ Total amount</t>
  </si>
  <si>
    <r>
      <t xml:space="preserve">Phí trông giữ xe ô tô/ </t>
    </r>
    <r>
      <rPr>
        <i/>
        <sz val="12"/>
        <rFont val="Times New Roman"/>
        <family val="1"/>
      </rPr>
      <t>Car parking fee</t>
    </r>
  </si>
  <si>
    <t>&lt;#Data2.CarNumber&gt;</t>
  </si>
  <si>
    <t>&lt;#if(&lt;#Data2.CarFee&gt; ="0";0;&lt;#Data2.CarFee&gt;)&gt;</t>
  </si>
  <si>
    <r>
      <t xml:space="preserve">Phí trông giữ xe máy/ </t>
    </r>
    <r>
      <rPr>
        <i/>
        <sz val="12"/>
        <rFont val="Times New Roman"/>
        <family val="1"/>
      </rPr>
      <t>Motorcycle parking fee</t>
    </r>
  </si>
  <si>
    <t>&lt;#Data2.MotoNumber&gt;</t>
  </si>
  <si>
    <t>&lt;#if(&lt;#Data2.MotoFee&gt; ="0";0;&lt;#Data2.MotoFee&gt;)&gt;</t>
  </si>
  <si>
    <r>
      <t xml:space="preserve">Phí trông giữ xe máy điện/ </t>
    </r>
    <r>
      <rPr>
        <i/>
        <sz val="12"/>
        <rFont val="Times New Roman"/>
        <family val="1"/>
      </rPr>
      <t>Electric motorbike parking fee</t>
    </r>
  </si>
  <si>
    <t>&lt;#Data2.MotoELNumber&gt;</t>
  </si>
  <si>
    <t>&lt;#if(&lt;#Data2.MotoELFee&gt; ="0";0;&lt;#Data2.MotoELFee&gt;)&gt;</t>
  </si>
  <si>
    <r>
      <t xml:space="preserve">Phí trông giữ xe đạp/ </t>
    </r>
    <r>
      <rPr>
        <i/>
        <sz val="12"/>
        <rFont val="Times New Roman"/>
        <family val="1"/>
      </rPr>
      <t>Bicycle parking fee</t>
    </r>
  </si>
  <si>
    <t>&lt;#Data2.BikeNumber&gt;</t>
  </si>
  <si>
    <t>&lt;#if(&lt;#Data2.BikeFee&gt; ="0";0;&lt;#Data2.BikeFee&gt;)&gt;</t>
  </si>
  <si>
    <r>
      <t xml:space="preserve">Phí trông giữ xe đạp điện/ </t>
    </r>
    <r>
      <rPr>
        <i/>
        <sz val="12"/>
        <rFont val="Times New Roman"/>
        <family val="1"/>
      </rPr>
      <t>Electric bike parking fee</t>
    </r>
  </si>
  <si>
    <t>&lt;#Data2.BikeELNumber&gt;</t>
  </si>
  <si>
    <t>&lt;#if(&lt;#Data2.BikeELFee&gt; ="0";0;&lt;#Data2.BikeELFee&gt;)&gt;</t>
  </si>
  <si>
    <r>
      <t xml:space="preserve">Tổng tiền phải nộp/ </t>
    </r>
    <r>
      <rPr>
        <i/>
        <sz val="12"/>
        <rFont val="Times New Roman"/>
        <family val="1"/>
      </rPr>
      <t>Total amount</t>
    </r>
  </si>
  <si>
    <t>&lt;#if(&lt;#Data2.TotalFee&gt; ="0";0;&lt;#Data2.TotalFee&gt;)&gt;</t>
  </si>
  <si>
    <t xml:space="preserve">Tổng tiền xe đã thanh toán/Total amount paid: </t>
  </si>
  <si>
    <t>&lt;#if(&lt;#Data2.PaidVehicleFee&gt; ="0";0;&lt;#Data2.PaidVehicleFee&gt;)&gt;</t>
  </si>
  <si>
    <t>Tổng tiền xe còn phải thanh toán trong kỳ/Total amount remaining to be paid</t>
  </si>
  <si>
    <t>Ngày nhận bàn giao nhà/Apartment handover date</t>
  </si>
  <si>
    <t>Diện tích (m2)/ Area</t>
  </si>
  <si>
    <t>Đơn giá/m2/Unit Price/m2</t>
  </si>
  <si>
    <t>Số tiền phải thanh toán/Total amount</t>
  </si>
  <si>
    <t>Số tiền đã thanh toán/Total amount paid</t>
  </si>
  <si>
    <t>Số tiền còn phải thanh toán trong kỳ/ Remain</t>
  </si>
  <si>
    <t>&lt;#Data3.WaterArea&gt;</t>
  </si>
  <si>
    <t>&lt;#Data3.Price&gt;</t>
  </si>
  <si>
    <t>&lt;#if(&lt;#Data3.CommonFee&gt; ="0";0;&lt;#Data3.CommonFee&gt;)&gt;</t>
  </si>
  <si>
    <t>&lt;#if(&lt;#Data3.PaidCommonFee&gt; ="0";0;&lt;#Data3.PaidCommonFee&gt;)&gt;</t>
  </si>
  <si>
    <r>
      <t xml:space="preserve">--&gt; Tổng số khách hàng cần thanh toán/ </t>
    </r>
    <r>
      <rPr>
        <b/>
        <i/>
        <sz val="12"/>
        <rFont val="Times New Roman"/>
        <family val="1"/>
      </rPr>
      <t>Total amount to be paid</t>
    </r>
    <r>
      <rPr>
        <b/>
        <sz val="12"/>
        <rFont val="Times New Roman"/>
        <family val="1"/>
      </rPr>
      <t>:</t>
    </r>
  </si>
  <si>
    <t xml:space="preserve"> &lt;#Data0.TotalAmt&gt;VNĐ</t>
  </si>
  <si>
    <r>
      <t xml:space="preserve">--&gt; Tổng số khách hàng đã thanh toán/ </t>
    </r>
    <r>
      <rPr>
        <b/>
        <i/>
        <sz val="12"/>
        <rFont val="Times New Roman"/>
        <family val="1"/>
      </rPr>
      <t>Total amount paid:</t>
    </r>
  </si>
  <si>
    <t xml:space="preserve"> &lt;#Data0.PaidAmount&gt;VNĐ</t>
  </si>
  <si>
    <t xml:space="preserve">--&gt; Tổng số khách hàng còn phải thanh toán/ Total amount remaining to be paid: </t>
  </si>
  <si>
    <t xml:space="preserve"> &lt;#Data0.AmountDue&gt;VNĐ</t>
  </si>
  <si>
    <t>Bằng chữ :</t>
  </si>
  <si>
    <t xml:space="preserve"> &lt;#Data0.AmountDueText&gt;đồng</t>
  </si>
  <si>
    <t>* Thông tin thanh toán:</t>
  </si>
  <si>
    <t>Quý khách vui lòng thanh toán trong vòng 7 ngày kể từ ngày phát hành đề nghị thanh toán. Quý vị có thể thực hiện thanh toán bằng tiền mặt tại phòng kế toán hoặc quầy Lễ tân - Ban BQL toàn nhà (từ 08:00-20:00) hoặc chuyển khoản qua ngân hàng. Tuy nhiên, chúng tôi khuyến khích Quý khách thanh toán qua tài khoản tại ngân hàng.</t>
  </si>
  <si>
    <t>This bill has to be paid within 7 days from issuing date. You can pay on cash at Reception lobby from (08:00 am - 08:00 pm)</t>
  </si>
  <si>
    <t>or bank transfer as below. However, we would encourage residents to pay by bank transfer.</t>
  </si>
  <si>
    <t>Số tài khoản/Account number:  &lt;#Data0.Bank_Acc_Num&gt; Ngân hàng/ Bank: TMCP Kiên Long chi nhánh Hà Nội.</t>
  </si>
  <si>
    <t>Chủ TK/Name: CTY CP QUAN LY &amp; VAN HANH S-SERVICE</t>
  </si>
  <si>
    <t>Nội dung chuyển khoản/Description: Căn hộ…. Tòa… thanh toán Tháng...../Name…unit no:…payment fee… for month...</t>
  </si>
  <si>
    <r>
      <t xml:space="preserve">Sau thời gian trên nếu Quý khách chưa thanh toán, BQL tòa nhà sẽ tiến hành tạm dừng cung cấp dịch vụ đến căn hộ. 
</t>
    </r>
    <r>
      <rPr>
        <i/>
        <sz val="12"/>
        <rFont val="Times New Roman"/>
        <family val="1"/>
      </rPr>
      <t>After the above time, if you have not paid, the Building Management Board will temporarily stop providing services to the apartment.</t>
    </r>
  </si>
  <si>
    <t xml:space="preserve">Trân trọng cảm ơn!
</t>
  </si>
  <si>
    <r>
      <t xml:space="preserve">BQL TÒA NHÀ </t>
    </r>
    <r>
      <rPr>
        <b/>
        <sz val="12"/>
        <color rgb="FFFF0000"/>
        <rFont val="Times New Roman"/>
        <family val="1"/>
      </rPr>
      <t>&lt;#Data0.ProjectName&gt;</t>
    </r>
    <r>
      <rPr>
        <b/>
        <sz val="12"/>
        <rFont val="Times New Roman"/>
        <family val="1"/>
      </rPr>
      <t xml:space="preserve">
</t>
    </r>
  </si>
  <si>
    <t>Thank you!</t>
  </si>
  <si>
    <t xml:space="preserve"> Management Office &lt;#Data0.ProjectName&gt;</t>
  </si>
  <si>
    <t>Thanh toán qua VietQR</t>
  </si>
  <si>
    <t>Configuration Sheet</t>
  </si>
  <si>
    <t>Version:</t>
  </si>
  <si>
    <t>Last modified: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</si>
  <si>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</si>
  <si>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</si>
  <si>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</si>
  <si>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</si>
  <si>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</si>
  <si>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</si>
  <si>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</si>
  <si>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</si>
  <si>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</si>
  <si>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</si>
  <si>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</si>
  <si>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</si>
  <si>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</si>
  <si>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</si>
  <si>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</si>
  <si>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</si>
  <si>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</si>
  <si>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</si>
  <si>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</si>
  <si>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</si>
  <si>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</si>
  <si>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</si>
  <si>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DataElectric</t>
  </si>
  <si>
    <t>Data4</t>
  </si>
  <si>
    <t>DGD</t>
  </si>
  <si>
    <t>dinh dang don gia chu dam</t>
  </si>
  <si>
    <t>DataWater</t>
  </si>
  <si>
    <t>Data7</t>
  </si>
  <si>
    <t>DG</t>
  </si>
  <si>
    <t>dinh dang don gia chu khong 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</si>
</sst>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[$-F800]dddd\,&quot; &quot;mmmm&quot; &quot;dd\,&quot; &quot;yyyy"/>
    <numFmt numFmtId="167" formatCode="#,###"/>
    <numFmt numFmtId="168" formatCode="#,##0.000"/>
    <numFmt numFmtId="169" formatCode="#,##0.0"/>
  </numFmts>
  <fonts count="30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indexed="8"/>
      <name val="Calibri"/>
      <family val="2"/>
    </font>
    <font>
      <b/>
      <sz val="11"/>
      <name val="Times New Roman"/>
      <family val="1"/>
    </font>
    <font>
      <b/>
      <u/>
      <sz val="11"/>
      <name val="Times New Roman"/>
      <family val="1"/>
    </font>
    <font>
      <i/>
      <sz val="12"/>
      <name val="Times New Roman"/>
      <family val="1"/>
    </font>
    <font>
      <b/>
      <sz val="15"/>
      <name val="Times New Roman"/>
      <family val="1"/>
    </font>
    <font>
      <i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sz val="10"/>
      <name val="VNI-Times"/>
      <family val="2"/>
    </font>
    <font>
      <sz val="11"/>
      <color indexed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b/>
      <sz val="12"/>
      <color theme="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3"/>
      <name val="Times New Roman"/>
      <family val="1"/>
    </font>
    <font>
      <b/>
      <u val="double"/>
      <sz val="10"/>
      <name val="Times New Roman"/>
      <family val="1"/>
    </font>
    <font>
      <b/>
      <u val="double"/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indexed="9"/>
      <name val="Garamond"/>
      <family val="1"/>
    </font>
    <font>
      <sz val="9"/>
      <name val="Tahoma"/>
      <family val="2"/>
      <charset val="163"/>
    </font>
    <font>
      <i/>
      <sz val="12"/>
      <color rgb="FFFF0000"/>
      <name val="Times New Roman"/>
      <family val="1"/>
    </font>
    <font>
      <b/>
      <sz val="11"/>
      <color rgb="FFFF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4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2" fillId="0" borderId="0"/>
    <xf numFmtId="0" fontId="13" fillId="0" borderId="0"/>
    <xf numFmtId="43" fontId="25" fillId="0" borderId="0" applyFont="0" applyFill="0" applyBorder="0" applyAlignment="0" applyProtection="0"/>
    <xf numFmtId="0" fontId="12" fillId="0" borderId="0"/>
  </cellStyleXfs>
  <cellXfs count="196">
    <xf numFmtId="0" fontId="0" fillId="0" borderId="0" xfId="0"/>
    <xf numFmtId="0" fontId="1" fillId="0" borderId="0" xfId="0" applyFont="1"/>
    <xf numFmtId="165" fontId="1" fillId="0" borderId="0" xfId="1" applyNumberFormat="1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3" fillId="0" borderId="0" xfId="0" applyFont="1"/>
    <xf numFmtId="0" fontId="1" fillId="0" borderId="4" xfId="0" applyFont="1" applyBorder="1"/>
    <xf numFmtId="165" fontId="1" fillId="0" borderId="0" xfId="1" applyNumberFormat="1" applyFont="1" applyBorder="1"/>
    <xf numFmtId="0" fontId="1" fillId="0" borderId="5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9" fillId="0" borderId="0" xfId="0" applyFont="1"/>
    <xf numFmtId="0" fontId="8" fillId="0" borderId="0" xfId="0" applyFont="1"/>
    <xf numFmtId="165" fontId="8" fillId="0" borderId="0" xfId="1" applyNumberFormat="1" applyFont="1" applyBorder="1"/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/>
    <xf numFmtId="0" fontId="9" fillId="0" borderId="11" xfId="0" applyFont="1" applyBorder="1" applyAlignment="1">
      <alignment horizontal="center" vertical="center" wrapText="1"/>
    </xf>
    <xf numFmtId="165" fontId="9" fillId="0" borderId="11" xfId="1" applyNumberFormat="1" applyFont="1" applyBorder="1" applyAlignment="1">
      <alignment horizontal="center" vertical="center" wrapText="1"/>
    </xf>
    <xf numFmtId="0" fontId="9" fillId="0" borderId="4" xfId="0" applyFont="1" applyBorder="1"/>
    <xf numFmtId="0" fontId="1" fillId="2" borderId="0" xfId="0" applyFont="1" applyFill="1"/>
    <xf numFmtId="0" fontId="10" fillId="0" borderId="4" xfId="0" applyFont="1" applyBorder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3" fontId="11" fillId="0" borderId="11" xfId="0" applyNumberFormat="1" applyFont="1" applyBorder="1" applyAlignment="1">
      <alignment horizontal="center" vertical="center" wrapText="1"/>
    </xf>
    <xf numFmtId="165" fontId="1" fillId="2" borderId="0" xfId="1" applyNumberFormat="1" applyFont="1" applyFill="1"/>
    <xf numFmtId="0" fontId="3" fillId="2" borderId="0" xfId="3" applyFont="1" applyFill="1" applyAlignment="1" applyProtection="1">
      <alignment horizontal="center"/>
      <protection hidden="1"/>
    </xf>
    <xf numFmtId="0" fontId="14" fillId="2" borderId="0" xfId="3" applyFont="1" applyFill="1" applyAlignment="1" applyProtection="1">
      <alignment horizontal="center"/>
      <protection hidden="1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/>
    </xf>
    <xf numFmtId="0" fontId="3" fillId="0" borderId="4" xfId="0" applyFont="1" applyBorder="1"/>
    <xf numFmtId="165" fontId="3" fillId="0" borderId="0" xfId="1" applyNumberFormat="1" applyFont="1" applyBorder="1"/>
    <xf numFmtId="0" fontId="3" fillId="0" borderId="5" xfId="0" applyFont="1" applyBorder="1" applyAlignment="1">
      <alignment horizontal="center"/>
    </xf>
    <xf numFmtId="0" fontId="9" fillId="3" borderId="4" xfId="0" quotePrefix="1" applyFont="1" applyFill="1" applyBorder="1"/>
    <xf numFmtId="0" fontId="9" fillId="3" borderId="0" xfId="0" applyFont="1" applyFill="1"/>
    <xf numFmtId="165" fontId="9" fillId="3" borderId="0" xfId="0" applyNumberFormat="1" applyFont="1" applyFill="1"/>
    <xf numFmtId="3" fontId="9" fillId="3" borderId="0" xfId="1" applyNumberFormat="1" applyFont="1" applyFill="1" applyBorder="1" applyAlignment="1"/>
    <xf numFmtId="165" fontId="15" fillId="0" borderId="0" xfId="1" applyNumberFormat="1" applyFont="1" applyBorder="1"/>
    <xf numFmtId="165" fontId="9" fillId="0" borderId="0" xfId="1" applyNumberFormat="1" applyFont="1" applyBorder="1"/>
    <xf numFmtId="0" fontId="16" fillId="0" borderId="4" xfId="0" applyFont="1" applyBorder="1"/>
    <xf numFmtId="0" fontId="10" fillId="0" borderId="0" xfId="0" applyFont="1"/>
    <xf numFmtId="0" fontId="17" fillId="2" borderId="0" xfId="0" applyFont="1" applyFill="1"/>
    <xf numFmtId="0" fontId="1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5" fillId="2" borderId="0" xfId="0" applyFont="1" applyFill="1" applyAlignment="1">
      <alignment horizontal="left" vertical="center"/>
    </xf>
    <xf numFmtId="165" fontId="9" fillId="2" borderId="5" xfId="0" applyNumberFormat="1" applyFont="1" applyFill="1" applyBorder="1" applyAlignment="1">
      <alignment horizontal="center" vertical="center"/>
    </xf>
    <xf numFmtId="3" fontId="11" fillId="0" borderId="11" xfId="4" applyNumberFormat="1" applyFont="1" applyBorder="1" applyAlignment="1">
      <alignment horizontal="center" vertical="center"/>
    </xf>
    <xf numFmtId="0" fontId="26" fillId="5" borderId="7" xfId="0" applyFont="1" applyFill="1" applyBorder="1"/>
    <xf numFmtId="0" fontId="12" fillId="6" borderId="11" xfId="5" applyFill="1" applyBorder="1" applyAlignment="1">
      <alignment horizontal="right"/>
    </xf>
    <xf numFmtId="0" fontId="12" fillId="6" borderId="11" xfId="5" applyFill="1" applyBorder="1"/>
    <xf numFmtId="166" fontId="12" fillId="6" borderId="11" xfId="5" applyNumberFormat="1" applyFill="1" applyBorder="1" applyAlignment="1">
      <alignment horizontal="left"/>
    </xf>
    <xf numFmtId="0" fontId="0" fillId="7" borderId="11" xfId="0" applyFill="1" applyBorder="1"/>
    <xf numFmtId="0" fontId="0" fillId="6" borderId="9" xfId="0" applyFill="1" applyBorder="1"/>
    <xf numFmtId="0" fontId="0" fillId="7" borderId="13" xfId="0" applyFill="1" applyBorder="1"/>
    <xf numFmtId="0" fontId="0" fillId="7" borderId="14" xfId="0" applyFill="1" applyBorder="1"/>
    <xf numFmtId="0" fontId="0" fillId="6" borderId="11" xfId="0" applyFill="1" applyBorder="1"/>
    <xf numFmtId="0" fontId="0" fillId="6" borderId="11" xfId="0" applyFill="1" applyBorder="1" applyAlignment="1">
      <alignment wrapText="1"/>
    </xf>
    <xf numFmtId="0" fontId="12" fillId="0" borderId="0" xfId="0" applyFont="1"/>
    <xf numFmtId="0" fontId="3" fillId="0" borderId="15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 wrapText="1"/>
    </xf>
    <xf numFmtId="167" fontId="3" fillId="0" borderId="15" xfId="0" applyNumberFormat="1" applyFont="1" applyBorder="1" applyAlignment="1">
      <alignment horizontal="right" vertical="top"/>
    </xf>
    <xf numFmtId="167" fontId="1" fillId="0" borderId="15" xfId="0" applyNumberFormat="1" applyFont="1" applyBorder="1" applyAlignment="1">
      <alignment horizontal="right" vertical="top"/>
    </xf>
    <xf numFmtId="167" fontId="0" fillId="0" borderId="0" xfId="0" applyNumberFormat="1"/>
    <xf numFmtId="168" fontId="0" fillId="0" borderId="0" xfId="0" applyNumberFormat="1"/>
    <xf numFmtId="14" fontId="0" fillId="0" borderId="0" xfId="0" applyNumberFormat="1"/>
    <xf numFmtId="4" fontId="0" fillId="0" borderId="0" xfId="0" applyNumberFormat="1"/>
    <xf numFmtId="0" fontId="9" fillId="0" borderId="0" xfId="0" applyFont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 wrapText="1"/>
    </xf>
    <xf numFmtId="165" fontId="9" fillId="0" borderId="8" xfId="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5" fontId="9" fillId="2" borderId="2" xfId="1" applyNumberFormat="1" applyFont="1" applyFill="1" applyBorder="1" applyAlignment="1">
      <alignment horizontal="center" vertical="center"/>
    </xf>
    <xf numFmtId="165" fontId="9" fillId="2" borderId="3" xfId="1" applyNumberFormat="1" applyFont="1" applyFill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9" fillId="0" borderId="0" xfId="0" applyFont="1" applyAlignment="1">
      <alignment vertical="top" wrapText="1"/>
    </xf>
    <xf numFmtId="0" fontId="23" fillId="0" borderId="0" xfId="0" applyFont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5" xfId="0" applyNumberFormat="1" applyFont="1" applyBorder="1" applyAlignment="1">
      <alignment horizontal="center" wrapText="1"/>
    </xf>
    <xf numFmtId="3" fontId="8" fillId="0" borderId="11" xfId="0" applyNumberFormat="1" applyFont="1" applyBorder="1" applyAlignment="1">
      <alignment horizontal="center" vertical="center"/>
    </xf>
    <xf numFmtId="3" fontId="8" fillId="0" borderId="11" xfId="1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wrapText="1"/>
    </xf>
    <xf numFmtId="3" fontId="8" fillId="0" borderId="11" xfId="0" applyNumberFormat="1" applyFont="1" applyBorder="1" applyAlignment="1">
      <alignment horizontal="center"/>
    </xf>
    <xf numFmtId="3" fontId="8" fillId="0" borderId="11" xfId="1" applyNumberFormat="1" applyFont="1" applyBorder="1" applyAlignment="1">
      <alignment vertical="center"/>
    </xf>
    <xf numFmtId="3" fontId="29" fillId="4" borderId="11" xfId="1" applyNumberFormat="1" applyFont="1" applyFill="1" applyBorder="1" applyAlignment="1">
      <alignment horizontal="center" vertical="center"/>
    </xf>
    <xf numFmtId="3" fontId="9" fillId="0" borderId="0" xfId="1" applyNumberFormat="1" applyFont="1" applyBorder="1"/>
    <xf numFmtId="3" fontId="8" fillId="0" borderId="5" xfId="0" applyNumberFormat="1" applyFont="1" applyBorder="1" applyAlignment="1">
      <alignment horizontal="center"/>
    </xf>
    <xf numFmtId="3" fontId="19" fillId="0" borderId="11" xfId="0" applyNumberFormat="1" applyFont="1" applyBorder="1" applyAlignment="1">
      <alignment horizontal="center" wrapText="1"/>
    </xf>
    <xf numFmtId="3" fontId="8" fillId="0" borderId="1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3" fontId="8" fillId="0" borderId="11" xfId="1" applyNumberFormat="1" applyFont="1" applyBorder="1" applyAlignment="1">
      <alignment horizontal="right" vertical="center" wrapText="1"/>
    </xf>
    <xf numFmtId="3" fontId="8" fillId="4" borderId="11" xfId="1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15" fillId="0" borderId="4" xfId="0" applyFont="1" applyBorder="1" applyAlignment="1">
      <alignment vertical="center"/>
    </xf>
    <xf numFmtId="3" fontId="20" fillId="4" borderId="11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center" vertical="center" wrapText="1"/>
    </xf>
    <xf numFmtId="3" fontId="18" fillId="4" borderId="11" xfId="0" applyNumberFormat="1" applyFont="1" applyFill="1" applyBorder="1" applyAlignment="1">
      <alignment horizontal="center" vertical="center" wrapText="1"/>
    </xf>
    <xf numFmtId="4" fontId="1" fillId="0" borderId="11" xfId="1" applyNumberFormat="1" applyFont="1" applyBorder="1" applyAlignment="1">
      <alignment horizontal="center" vertical="center"/>
    </xf>
    <xf numFmtId="165" fontId="9" fillId="0" borderId="5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165" fontId="1" fillId="2" borderId="0" xfId="1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49" fontId="8" fillId="0" borderId="1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2" fillId="0" borderId="10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5" fontId="9" fillId="0" borderId="10" xfId="1" applyNumberFormat="1" applyFont="1" applyBorder="1" applyAlignment="1">
      <alignment horizontal="center" vertical="center"/>
    </xf>
    <xf numFmtId="165" fontId="9" fillId="0" borderId="9" xfId="1" applyNumberFormat="1" applyFont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/>
    </xf>
    <xf numFmtId="3" fontId="8" fillId="0" borderId="9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left" vertical="center" wrapText="1"/>
    </xf>
    <xf numFmtId="3" fontId="11" fillId="0" borderId="2" xfId="0" applyNumberFormat="1" applyFont="1" applyBorder="1" applyAlignment="1">
      <alignment horizontal="left" vertical="center" wrapText="1"/>
    </xf>
    <xf numFmtId="3" fontId="11" fillId="0" borderId="3" xfId="0" applyNumberFormat="1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3" fontId="11" fillId="0" borderId="10" xfId="0" applyNumberFormat="1" applyFont="1" applyBorder="1" applyAlignment="1">
      <alignment horizontal="left" vertical="center" wrapText="1"/>
    </xf>
    <xf numFmtId="3" fontId="11" fillId="0" borderId="12" xfId="0" applyNumberFormat="1" applyFont="1" applyBorder="1" applyAlignment="1">
      <alignment horizontal="left" vertical="center" wrapText="1"/>
    </xf>
    <xf numFmtId="3" fontId="11" fillId="0" borderId="9" xfId="0" applyNumberFormat="1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3" fontId="8" fillId="0" borderId="10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165" fontId="1" fillId="2" borderId="0" xfId="1" applyNumberFormat="1" applyFont="1" applyFill="1" applyAlignment="1">
      <alignment horizontal="left"/>
    </xf>
    <xf numFmtId="165" fontId="5" fillId="0" borderId="0" xfId="1" applyNumberFormat="1" applyFont="1" applyFill="1" applyBorder="1" applyAlignment="1">
      <alignment horizontal="center"/>
    </xf>
    <xf numFmtId="165" fontId="5" fillId="0" borderId="5" xfId="1" applyNumberFormat="1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3" fillId="0" borderId="10" xfId="1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69" fontId="3" fillId="0" borderId="10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9" fontId="9" fillId="0" borderId="10" xfId="0" applyNumberFormat="1" applyFont="1" applyBorder="1" applyAlignment="1">
      <alignment horizontal="center" vertical="center"/>
    </xf>
    <xf numFmtId="169" fontId="9" fillId="0" borderId="9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 vertical="center"/>
    </xf>
    <xf numFmtId="169" fontId="28" fillId="0" borderId="11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 wrapText="1"/>
    </xf>
    <xf numFmtId="3" fontId="28" fillId="2" borderId="11" xfId="0" applyNumberFormat="1" applyFont="1" applyFill="1" applyBorder="1" applyAlignment="1">
      <alignment horizontal="center" vertical="center"/>
    </xf>
    <xf numFmtId="3" fontId="20" fillId="4" borderId="10" xfId="0" applyNumberFormat="1" applyFont="1" applyFill="1" applyBorder="1" applyAlignment="1">
      <alignment horizontal="center" vertical="center"/>
    </xf>
    <xf numFmtId="3" fontId="20" fillId="4" borderId="9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 wrapText="1"/>
    </xf>
    <xf numFmtId="0" fontId="24" fillId="0" borderId="0" xfId="0" applyFont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 wrapText="1"/>
    </xf>
    <xf numFmtId="3" fontId="1" fillId="0" borderId="9" xfId="0" applyNumberFormat="1" applyFont="1" applyBorder="1" applyAlignment="1">
      <alignment horizontal="center" vertical="center" wrapText="1"/>
    </xf>
    <xf numFmtId="3" fontId="21" fillId="0" borderId="10" xfId="1" applyNumberFormat="1" applyFont="1" applyBorder="1" applyAlignment="1">
      <alignment horizontal="center" vertical="center"/>
    </xf>
    <xf numFmtId="3" fontId="21" fillId="0" borderId="9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5" xfId="0" applyFont="1" applyBorder="1" applyAlignment="1">
      <alignment horizontal="left" wrapText="1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left" vertical="center"/>
    </xf>
  </cellXfs>
  <cellStyles count="6">
    <cellStyle name="Comma" xfId="4" builtinId="3"/>
    <cellStyle name="Comma 2" xfId="1" xr:uid="{00000000-0005-0000-0000-000000000000}"/>
    <cellStyle name="Normal" xfId="0" builtinId="0"/>
    <cellStyle name="Normal 2 3" xfId="2" xr:uid="{00000000-0005-0000-0000-000003000000}"/>
    <cellStyle name="Normal_DocSoUnicode 2" xfId="3" xr:uid="{00000000-0005-0000-0000-000004000000}"/>
    <cellStyle name="Normal_Sheet1" xfId="5" xr:uid="{6E7E5B4B-35E0-4E48-B54E-B9C0A86B71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1</xdr:row>
      <xdr:rowOff>38099</xdr:rowOff>
    </xdr:from>
    <xdr:to>
      <xdr:col>1</xdr:col>
      <xdr:colOff>493394</xdr:colOff>
      <xdr:row>5</xdr:row>
      <xdr:rowOff>137159</xdr:rowOff>
    </xdr:to>
    <xdr:pic>
      <xdr:nvPicPr>
        <xdr:cNvPr id="2" name="Picture 1" descr="D:\KẾ TOÁN\CÁC FROM MẪU\SService.png">
          <a:extLst>
            <a:ext uri="{FF2B5EF4-FFF2-40B4-BE49-F238E27FC236}">
              <a16:creationId xmlns:a16="http://schemas.microsoft.com/office/drawing/2014/main" id="{E0BC1D88-CB3E-4323-AB5F-85350D836D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4" y="114299"/>
          <a:ext cx="1247775" cy="866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323850</xdr:colOff>
      <xdr:row>3</xdr:row>
      <xdr:rowOff>0</xdr:rowOff>
    </xdr:from>
    <xdr:to>
      <xdr:col>1</xdr:col>
      <xdr:colOff>605790</xdr:colOff>
      <xdr:row>5</xdr:row>
      <xdr:rowOff>190500</xdr:rowOff>
    </xdr:to>
    <xdr:sp macro="" textlink="">
      <xdr:nvSpPr>
        <xdr:cNvPr id="4" name="Picture 1">
          <a:extLst>
            <a:ext uri="{FF2B5EF4-FFF2-40B4-BE49-F238E27FC236}">
              <a16:creationId xmlns:a16="http://schemas.microsoft.com/office/drawing/2014/main" id="{5FCF5839-9503-44CF-9306-158ED8E680D1}"/>
            </a:ext>
          </a:extLst>
        </xdr:cNvPr>
        <xdr:cNvSpPr>
          <a:spLocks noChangeAspect="1" noChangeArrowheads="1"/>
        </xdr:cNvSpPr>
      </xdr:nvSpPr>
      <xdr:spPr bwMode="auto">
        <a:xfrm>
          <a:off x="323850" y="457200"/>
          <a:ext cx="114871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445190</xdr:colOff>
      <xdr:row>86</xdr:row>
      <xdr:rowOff>97736</xdr:rowOff>
    </xdr:from>
    <xdr:to>
      <xdr:col>2</xdr:col>
      <xdr:colOff>598417</xdr:colOff>
      <xdr:row>96</xdr:row>
      <xdr:rowOff>112588</xdr:rowOff>
    </xdr:to>
    <xdr:pic>
      <xdr:nvPicPr>
        <xdr:cNvPr id="6" name="&lt;#QrPayment&gt;">
          <a:extLst>
            <a:ext uri="{FF2B5EF4-FFF2-40B4-BE49-F238E27FC236}">
              <a16:creationId xmlns:a16="http://schemas.microsoft.com/office/drawing/2014/main" id="{5976AB67-4982-417F-B290-A61BCF7F36B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45190" y="26163106"/>
          <a:ext cx="1967118" cy="19198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FF"/>
  </sheetPr>
  <dimension ref="A1:AH109"/>
  <sheetViews>
    <sheetView showGridLines="0" tabSelected="1" view="pageBreakPreview" topLeftCell="A4" zoomScale="115" zoomScaleNormal="100" zoomScaleSheetLayoutView="115" workbookViewId="0">
      <selection activeCell="G10" sqref="G10"/>
    </sheetView>
  </sheetViews>
  <sheetFormatPr defaultColWidth="9.140625" defaultRowHeight="15"/>
  <cols>
    <col min="1" max="1" width="13" style="1" customWidth="1"/>
    <col min="2" max="2" width="14.140625" style="1" customWidth="1"/>
    <col min="3" max="3" width="15.7109375" style="1" customWidth="1"/>
    <col min="4" max="4" width="14.5703125" style="1" customWidth="1"/>
    <col min="5" max="5" width="16.7109375" style="1" customWidth="1"/>
    <col min="6" max="6" width="13.5703125" style="1" customWidth="1"/>
    <col min="7" max="7" width="27.85546875" style="2" customWidth="1"/>
    <col min="8" max="8" width="16.85546875" style="3" customWidth="1"/>
    <col min="9" max="9" width="26.85546875" style="1" hidden="1" customWidth="1"/>
    <col min="10" max="10" width="16.7109375" style="1" hidden="1" customWidth="1"/>
    <col min="11" max="11" width="14.140625" style="1" hidden="1" customWidth="1"/>
    <col min="12" max="15" width="10.140625" style="1" hidden="1" customWidth="1"/>
    <col min="16" max="16" width="2" style="1" customWidth="1"/>
    <col min="17" max="17" width="2.7109375" style="1" hidden="1" customWidth="1"/>
    <col min="18" max="18" width="6.85546875" style="1" hidden="1" customWidth="1"/>
    <col min="19" max="19" width="9.5703125" style="1" hidden="1" customWidth="1"/>
    <col min="20" max="28" width="10.140625" style="1" hidden="1" customWidth="1"/>
    <col min="29" max="32" width="9.140625" style="1" hidden="1" customWidth="1"/>
    <col min="33" max="33" width="0.42578125" style="1" hidden="1" customWidth="1"/>
    <col min="34" max="34" width="0.85546875" style="1" hidden="1" customWidth="1"/>
    <col min="35" max="16384" width="9.140625" style="1"/>
  </cols>
  <sheetData>
    <row r="1" spans="1:12" ht="6" customHeight="1"/>
    <row r="2" spans="1:12">
      <c r="A2" s="4"/>
      <c r="B2" s="5"/>
      <c r="C2" s="5"/>
      <c r="D2" s="5"/>
      <c r="E2" s="142" t="s">
        <v>0</v>
      </c>
      <c r="F2" s="142"/>
      <c r="G2" s="142"/>
      <c r="H2" s="143"/>
      <c r="I2" s="45"/>
      <c r="J2" s="45"/>
      <c r="K2" s="45"/>
      <c r="L2" s="45"/>
    </row>
    <row r="3" spans="1:12">
      <c r="A3" s="7"/>
      <c r="E3" s="144" t="s">
        <v>1</v>
      </c>
      <c r="F3" s="144"/>
      <c r="G3" s="144"/>
      <c r="H3" s="145"/>
      <c r="I3" s="110"/>
      <c r="J3" s="45"/>
      <c r="K3" s="45"/>
      <c r="L3" s="45"/>
    </row>
    <row r="4" spans="1:12">
      <c r="A4" s="7"/>
      <c r="G4" s="8"/>
      <c r="H4" s="9"/>
      <c r="I4" s="152"/>
      <c r="J4" s="152"/>
      <c r="K4" s="152"/>
      <c r="L4" s="152"/>
    </row>
    <row r="5" spans="1:12" ht="15.75">
      <c r="A5" s="7"/>
      <c r="F5" s="153" t="s">
        <v>2</v>
      </c>
      <c r="G5" s="153"/>
      <c r="H5" s="154"/>
      <c r="I5" s="155"/>
      <c r="J5" s="155"/>
      <c r="K5" s="155"/>
      <c r="L5" s="155"/>
    </row>
    <row r="6" spans="1:12" ht="27.75" customHeight="1">
      <c r="A6" s="7"/>
      <c r="C6" s="156" t="s">
        <v>3</v>
      </c>
      <c r="D6" s="156"/>
      <c r="E6" s="156"/>
      <c r="F6" s="156"/>
      <c r="G6" s="156"/>
      <c r="H6" s="157"/>
      <c r="I6" s="45"/>
      <c r="J6" s="110"/>
      <c r="K6" s="111"/>
      <c r="L6" s="45"/>
    </row>
    <row r="7" spans="1:12" ht="15.75">
      <c r="A7" s="10" t="s">
        <v>4</v>
      </c>
      <c r="B7" s="11"/>
      <c r="C7" s="12"/>
      <c r="D7" s="12"/>
      <c r="E7" s="13"/>
      <c r="F7" s="13"/>
      <c r="G7" s="14"/>
      <c r="H7" s="15"/>
      <c r="I7" s="45"/>
      <c r="J7" s="45"/>
      <c r="K7" s="45"/>
      <c r="L7" s="45"/>
    </row>
    <row r="8" spans="1:12" ht="15.75">
      <c r="A8" s="17" t="s">
        <v>5</v>
      </c>
      <c r="B8" s="13"/>
      <c r="C8" s="12"/>
      <c r="D8" s="44" t="s">
        <v>6</v>
      </c>
      <c r="E8" s="13"/>
      <c r="F8" s="13"/>
      <c r="G8" s="14"/>
      <c r="H8" s="15"/>
      <c r="I8" s="46"/>
      <c r="J8" s="45"/>
      <c r="K8" s="45"/>
      <c r="L8" s="45"/>
    </row>
    <row r="9" spans="1:12" ht="72.75" customHeight="1">
      <c r="A9" s="158" t="s">
        <v>7</v>
      </c>
      <c r="B9" s="159"/>
      <c r="C9" s="159"/>
      <c r="D9" s="159"/>
      <c r="E9" s="159"/>
      <c r="F9" s="159"/>
      <c r="G9" s="159"/>
      <c r="H9" s="160"/>
      <c r="I9" s="47"/>
      <c r="J9" s="21"/>
      <c r="K9" s="21"/>
      <c r="L9" s="21"/>
    </row>
    <row r="10" spans="1:12" ht="36" customHeight="1">
      <c r="A10" s="161" t="s">
        <v>8</v>
      </c>
      <c r="B10" s="162"/>
      <c r="C10" s="18" t="s">
        <v>9</v>
      </c>
      <c r="D10" s="18" t="s">
        <v>10</v>
      </c>
      <c r="E10" s="18" t="s">
        <v>11</v>
      </c>
      <c r="F10" s="18" t="s">
        <v>12</v>
      </c>
      <c r="G10" s="19" t="s">
        <v>13</v>
      </c>
      <c r="H10" s="18" t="s">
        <v>14</v>
      </c>
      <c r="I10" s="48"/>
      <c r="J10" s="21"/>
      <c r="K10" s="21"/>
      <c r="L10" s="21"/>
    </row>
    <row r="11" spans="1:12" ht="24" customHeight="1">
      <c r="A11" s="163" t="s">
        <v>15</v>
      </c>
      <c r="B11" s="164"/>
      <c r="C11" s="98" t="s">
        <v>16</v>
      </c>
      <c r="D11" s="98" t="s">
        <v>17</v>
      </c>
      <c r="E11" s="98" t="s">
        <v>18</v>
      </c>
      <c r="F11" s="98" t="s">
        <v>19</v>
      </c>
      <c r="G11" s="99" t="s">
        <v>20</v>
      </c>
      <c r="H11" s="112" t="s">
        <v>21</v>
      </c>
      <c r="I11" s="48"/>
      <c r="J11" s="21"/>
      <c r="K11" s="21"/>
      <c r="L11" s="21"/>
    </row>
    <row r="12" spans="1:12" ht="18" customHeight="1">
      <c r="A12" s="20" t="s">
        <v>22</v>
      </c>
      <c r="G12" s="8"/>
      <c r="H12" s="9"/>
      <c r="I12" s="21"/>
      <c r="J12" s="21"/>
      <c r="K12" s="21"/>
      <c r="L12" s="21"/>
    </row>
    <row r="13" spans="1:12" ht="28.5" customHeight="1">
      <c r="A13" s="113" t="s">
        <v>23</v>
      </c>
      <c r="B13" s="114"/>
      <c r="C13" s="114"/>
      <c r="D13" s="114"/>
      <c r="E13" s="114"/>
      <c r="F13" s="114"/>
      <c r="G13" s="114"/>
      <c r="H13" s="9"/>
      <c r="I13" s="21"/>
      <c r="J13" s="21"/>
      <c r="K13" s="21"/>
      <c r="L13" s="21"/>
    </row>
    <row r="14" spans="1:12" ht="9" customHeight="1">
      <c r="A14" s="22"/>
      <c r="G14" s="8"/>
      <c r="H14" s="9"/>
      <c r="I14" s="21"/>
      <c r="J14" s="21"/>
      <c r="K14" s="21"/>
      <c r="L14" s="21"/>
    </row>
    <row r="15" spans="1:12" s="24" customFormat="1" ht="63">
      <c r="A15" s="18" t="s">
        <v>24</v>
      </c>
      <c r="B15" s="131" t="s">
        <v>25</v>
      </c>
      <c r="C15" s="135"/>
      <c r="D15" s="18" t="s">
        <v>26</v>
      </c>
      <c r="E15" s="18" t="s">
        <v>27</v>
      </c>
      <c r="F15" s="18" t="s">
        <v>28</v>
      </c>
      <c r="G15" s="19" t="s">
        <v>29</v>
      </c>
      <c r="H15" s="18" t="s">
        <v>30</v>
      </c>
      <c r="I15" s="23"/>
      <c r="J15" s="23"/>
      <c r="K15" s="23"/>
      <c r="L15" s="23"/>
    </row>
    <row r="16" spans="1:12" ht="15.75">
      <c r="A16" s="84">
        <v>1</v>
      </c>
      <c r="B16" s="150" t="s">
        <v>31</v>
      </c>
      <c r="C16" s="151"/>
      <c r="D16" s="84" t="s">
        <v>32</v>
      </c>
      <c r="E16" s="84" t="e">
        <f>D16+F16</f>
        <v>#VALUE!</v>
      </c>
      <c r="F16" s="84" t="s">
        <v>33</v>
      </c>
      <c r="G16" s="85"/>
      <c r="H16" s="84"/>
      <c r="I16" s="21"/>
      <c r="J16" s="21"/>
      <c r="K16" s="21"/>
      <c r="L16" s="21"/>
    </row>
    <row r="17" spans="1:31" ht="16.5" customHeight="1">
      <c r="A17" s="146" t="s">
        <v>34</v>
      </c>
      <c r="B17" s="147"/>
      <c r="C17" s="147"/>
      <c r="D17" s="147"/>
      <c r="E17" s="148"/>
      <c r="F17" s="25" t="s">
        <v>35</v>
      </c>
      <c r="G17" s="51" t="s">
        <v>36</v>
      </c>
      <c r="H17" s="84" t="s">
        <v>37</v>
      </c>
      <c r="I17" s="26"/>
      <c r="J17" s="21"/>
      <c r="K17" s="21"/>
      <c r="L17" s="21"/>
    </row>
    <row r="18" spans="1:31" ht="18" customHeight="1">
      <c r="A18" s="132" t="s">
        <v>38</v>
      </c>
      <c r="B18" s="133"/>
      <c r="C18" s="133"/>
      <c r="D18" s="133"/>
      <c r="E18" s="133"/>
      <c r="F18" s="133"/>
      <c r="G18" s="134"/>
      <c r="H18" s="86" t="s">
        <v>39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1"/>
      <c r="AD18" s="21"/>
      <c r="AE18" s="21"/>
    </row>
    <row r="19" spans="1:31" ht="10.5" customHeight="1">
      <c r="A19" s="80" t="s">
        <v>40</v>
      </c>
      <c r="B19" s="81"/>
      <c r="C19" s="81"/>
      <c r="D19" s="81"/>
      <c r="E19" s="81"/>
      <c r="F19" s="81"/>
      <c r="G19" s="81"/>
      <c r="H19" s="82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1"/>
      <c r="AD19" s="21"/>
      <c r="AE19" s="21"/>
    </row>
    <row r="20" spans="1:31" ht="28.5" customHeight="1">
      <c r="A20" s="113" t="s">
        <v>41</v>
      </c>
      <c r="B20" s="114"/>
      <c r="C20" s="114"/>
      <c r="D20" s="114"/>
      <c r="E20" s="114"/>
      <c r="F20" s="114"/>
      <c r="G20" s="114"/>
      <c r="H20" s="9"/>
      <c r="I20" s="21"/>
      <c r="J20" s="21"/>
      <c r="K20" s="21"/>
      <c r="L20" s="21"/>
    </row>
    <row r="21" spans="1:31" s="24" customFormat="1" ht="63">
      <c r="A21" s="18" t="s">
        <v>24</v>
      </c>
      <c r="B21" s="131" t="s">
        <v>25</v>
      </c>
      <c r="C21" s="135"/>
      <c r="D21" s="18" t="s">
        <v>26</v>
      </c>
      <c r="E21" s="18" t="s">
        <v>27</v>
      </c>
      <c r="F21" s="18" t="s">
        <v>28</v>
      </c>
      <c r="G21" s="19" t="s">
        <v>29</v>
      </c>
      <c r="H21" s="18" t="s">
        <v>30</v>
      </c>
      <c r="I21" s="23"/>
      <c r="J21" s="23"/>
      <c r="K21" s="23"/>
      <c r="L21" s="23"/>
    </row>
    <row r="22" spans="1:31" ht="15.75">
      <c r="A22" s="84">
        <v>1</v>
      </c>
      <c r="B22" s="150" t="s">
        <v>31</v>
      </c>
      <c r="C22" s="151"/>
      <c r="D22" s="84" t="e">
        <f>E16</f>
        <v>#VALUE!</v>
      </c>
      <c r="E22" s="84" t="e">
        <f>D22+F22</f>
        <v>#VALUE!</v>
      </c>
      <c r="F22" s="84" t="s">
        <v>42</v>
      </c>
      <c r="G22" s="85"/>
      <c r="H22" s="84"/>
      <c r="I22" s="21"/>
      <c r="J22" s="21"/>
      <c r="K22" s="21"/>
      <c r="L22" s="21"/>
    </row>
    <row r="23" spans="1:31" ht="16.5" customHeight="1">
      <c r="A23" s="146" t="s">
        <v>43</v>
      </c>
      <c r="B23" s="147"/>
      <c r="C23" s="147"/>
      <c r="D23" s="147"/>
      <c r="E23" s="148"/>
      <c r="F23" s="25" t="s">
        <v>44</v>
      </c>
      <c r="G23" s="51" t="s">
        <v>45</v>
      </c>
      <c r="H23" s="84" t="s">
        <v>46</v>
      </c>
      <c r="I23" s="26"/>
      <c r="J23" s="21"/>
      <c r="K23" s="21"/>
      <c r="L23" s="21"/>
    </row>
    <row r="24" spans="1:31" ht="20.25" customHeight="1">
      <c r="A24" s="132" t="s">
        <v>47</v>
      </c>
      <c r="B24" s="133"/>
      <c r="C24" s="133"/>
      <c r="D24" s="133"/>
      <c r="E24" s="133"/>
      <c r="F24" s="133"/>
      <c r="G24" s="134"/>
      <c r="H24" s="86" t="s">
        <v>48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1"/>
      <c r="AD24" s="21"/>
      <c r="AE24" s="21"/>
    </row>
    <row r="25" spans="1:31" ht="26.25" customHeight="1">
      <c r="A25" s="29" t="s">
        <v>49</v>
      </c>
      <c r="B25" s="49"/>
      <c r="C25" s="49"/>
      <c r="D25" s="49"/>
      <c r="E25" s="49"/>
      <c r="F25" s="49"/>
      <c r="G25" s="49"/>
      <c r="H25" s="50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1:31" ht="18.75" customHeight="1">
      <c r="A26" s="149" t="s">
        <v>50</v>
      </c>
      <c r="B26" s="133"/>
      <c r="C26" s="133"/>
      <c r="D26" s="133"/>
      <c r="E26" s="133"/>
      <c r="F26" s="133"/>
      <c r="G26" s="134"/>
      <c r="H26" s="93" t="s">
        <v>51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1"/>
      <c r="AD26" s="21"/>
      <c r="AE26" s="21"/>
    </row>
    <row r="27" spans="1:31" ht="18.75" customHeight="1">
      <c r="A27" s="139" t="s">
        <v>52</v>
      </c>
      <c r="B27" s="140"/>
      <c r="C27" s="140"/>
      <c r="D27" s="140"/>
      <c r="E27" s="140"/>
      <c r="F27" s="140"/>
      <c r="G27" s="141"/>
      <c r="H27" s="93" t="s">
        <v>53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1"/>
      <c r="AD27" s="21"/>
      <c r="AE27" s="21"/>
    </row>
    <row r="28" spans="1:31" ht="18.75" customHeight="1">
      <c r="A28" s="136" t="s">
        <v>54</v>
      </c>
      <c r="B28" s="137"/>
      <c r="C28" s="137"/>
      <c r="D28" s="137"/>
      <c r="E28" s="137"/>
      <c r="F28" s="137"/>
      <c r="G28" s="138"/>
      <c r="H28" s="93" t="s">
        <v>55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1"/>
      <c r="AD28" s="21"/>
      <c r="AE28" s="21"/>
    </row>
    <row r="29" spans="1:31" ht="18.75" customHeight="1">
      <c r="A29" s="136" t="s">
        <v>56</v>
      </c>
      <c r="B29" s="137"/>
      <c r="C29" s="137"/>
      <c r="D29" s="137"/>
      <c r="E29" s="137"/>
      <c r="F29" s="137"/>
      <c r="G29" s="138"/>
      <c r="H29" s="105" t="s">
        <v>57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1"/>
      <c r="AD29" s="21"/>
      <c r="AE29" s="21"/>
    </row>
    <row r="30" spans="1:31" ht="23.25" customHeight="1">
      <c r="A30" s="115" t="s">
        <v>58</v>
      </c>
      <c r="B30" s="116"/>
      <c r="C30" s="116"/>
      <c r="D30" s="116"/>
      <c r="E30" s="116"/>
      <c r="F30" s="116"/>
      <c r="G30" s="117"/>
      <c r="H30" s="106" t="e">
        <f>H28-H29</f>
        <v>#VALUE!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1"/>
      <c r="AD30" s="21"/>
      <c r="AE30" s="21"/>
    </row>
    <row r="31" spans="1:31" ht="10.5" customHeight="1">
      <c r="A31" s="30"/>
      <c r="B31" s="31"/>
      <c r="C31" s="31"/>
      <c r="D31" s="31"/>
      <c r="E31" s="31"/>
      <c r="F31" s="31"/>
      <c r="G31" s="31"/>
      <c r="H31" s="32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31" ht="33" customHeight="1">
      <c r="A32" s="29" t="s">
        <v>59</v>
      </c>
      <c r="B32" s="13"/>
      <c r="C32" s="13"/>
      <c r="D32" s="13"/>
      <c r="E32" s="71"/>
      <c r="F32" s="71"/>
      <c r="G32" s="72"/>
      <c r="H32" s="10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1"/>
      <c r="AD32" s="21"/>
      <c r="AE32" s="21"/>
    </row>
    <row r="33" spans="1:31" ht="27" customHeight="1">
      <c r="A33" s="113" t="s">
        <v>60</v>
      </c>
      <c r="B33" s="114"/>
      <c r="C33" s="114"/>
      <c r="D33" s="114"/>
      <c r="E33" s="114"/>
      <c r="F33" s="114"/>
      <c r="G33" s="114"/>
      <c r="H33" s="73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1"/>
      <c r="AD33" s="21"/>
      <c r="AE33" s="21"/>
    </row>
    <row r="34" spans="1:31" ht="63">
      <c r="A34" s="18" t="s">
        <v>24</v>
      </c>
      <c r="B34" s="131" t="s">
        <v>61</v>
      </c>
      <c r="C34" s="123"/>
      <c r="D34" s="18" t="s">
        <v>26</v>
      </c>
      <c r="E34" s="18" t="s">
        <v>27</v>
      </c>
      <c r="F34" s="18" t="s">
        <v>62</v>
      </c>
      <c r="G34" s="19" t="s">
        <v>29</v>
      </c>
      <c r="H34" s="18" t="s">
        <v>30</v>
      </c>
    </row>
    <row r="35" spans="1:31" ht="15.75">
      <c r="A35" s="84">
        <v>1</v>
      </c>
      <c r="B35" s="126" t="s">
        <v>63</v>
      </c>
      <c r="C35" s="127"/>
      <c r="D35" s="87" t="s">
        <v>64</v>
      </c>
      <c r="E35" s="87" t="e">
        <f>D35+F35</f>
        <v>#VALUE!</v>
      </c>
      <c r="F35" s="84" t="s">
        <v>65</v>
      </c>
      <c r="G35" s="88"/>
      <c r="H35" s="87"/>
    </row>
    <row r="36" spans="1:31" ht="16.5">
      <c r="A36" s="128" t="s">
        <v>66</v>
      </c>
      <c r="B36" s="129"/>
      <c r="C36" s="129"/>
      <c r="D36" s="129"/>
      <c r="E36" s="130"/>
      <c r="F36" s="84" t="s">
        <v>67</v>
      </c>
      <c r="G36" s="85" t="s">
        <v>68</v>
      </c>
      <c r="H36" s="87" t="s">
        <v>69</v>
      </c>
    </row>
    <row r="37" spans="1:31" ht="18" customHeight="1">
      <c r="A37" s="132" t="s">
        <v>70</v>
      </c>
      <c r="B37" s="133"/>
      <c r="C37" s="133"/>
      <c r="D37" s="133"/>
      <c r="E37" s="133"/>
      <c r="F37" s="133"/>
      <c r="G37" s="134"/>
      <c r="H37" s="86" t="s">
        <v>71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31" ht="10.5" customHeight="1">
      <c r="A38" s="30" t="s">
        <v>72</v>
      </c>
      <c r="B38" s="31"/>
      <c r="C38" s="31"/>
      <c r="D38" s="31"/>
      <c r="E38" s="31"/>
      <c r="F38" s="31"/>
      <c r="G38" s="31"/>
      <c r="H38" s="83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1:31" ht="27" customHeight="1">
      <c r="A39" s="113" t="s">
        <v>73</v>
      </c>
      <c r="B39" s="114"/>
      <c r="C39" s="114"/>
      <c r="D39" s="114"/>
      <c r="E39" s="114"/>
      <c r="F39" s="114"/>
      <c r="G39" s="114"/>
      <c r="H39" s="73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1"/>
      <c r="AD39" s="21"/>
      <c r="AE39" s="21"/>
    </row>
    <row r="40" spans="1:31" ht="63">
      <c r="A40" s="18" t="s">
        <v>24</v>
      </c>
      <c r="B40" s="131" t="s">
        <v>61</v>
      </c>
      <c r="C40" s="135"/>
      <c r="D40" s="18" t="s">
        <v>26</v>
      </c>
      <c r="E40" s="18" t="s">
        <v>27</v>
      </c>
      <c r="F40" s="18" t="s">
        <v>62</v>
      </c>
      <c r="G40" s="19" t="s">
        <v>29</v>
      </c>
      <c r="H40" s="18" t="s">
        <v>30</v>
      </c>
    </row>
    <row r="41" spans="1:31" ht="15.75">
      <c r="A41" s="84">
        <v>1</v>
      </c>
      <c r="B41" s="126" t="s">
        <v>63</v>
      </c>
      <c r="C41" s="127"/>
      <c r="D41" s="87" t="e">
        <f>E35</f>
        <v>#VALUE!</v>
      </c>
      <c r="E41" s="87" t="e">
        <f>D41+F41</f>
        <v>#VALUE!</v>
      </c>
      <c r="F41" s="84" t="s">
        <v>74</v>
      </c>
      <c r="G41" s="88"/>
      <c r="H41" s="87"/>
    </row>
    <row r="42" spans="1:31" ht="16.5" customHeight="1">
      <c r="A42" s="128" t="s">
        <v>75</v>
      </c>
      <c r="B42" s="129"/>
      <c r="C42" s="129"/>
      <c r="D42" s="129"/>
      <c r="E42" s="130"/>
      <c r="F42" s="84" t="s">
        <v>76</v>
      </c>
      <c r="G42" s="85" t="s">
        <v>77</v>
      </c>
      <c r="H42" s="87" t="s">
        <v>78</v>
      </c>
    </row>
    <row r="43" spans="1:31" ht="18" customHeight="1">
      <c r="A43" s="132" t="s">
        <v>79</v>
      </c>
      <c r="B43" s="133"/>
      <c r="C43" s="133"/>
      <c r="D43" s="133"/>
      <c r="E43" s="133"/>
      <c r="F43" s="133"/>
      <c r="G43" s="134"/>
      <c r="H43" s="86" t="s">
        <v>80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 spans="1:31" ht="10.5" customHeight="1">
      <c r="A44" s="30"/>
      <c r="B44" s="31"/>
      <c r="C44" s="31"/>
      <c r="D44" s="31"/>
      <c r="E44" s="31"/>
      <c r="F44" s="31"/>
      <c r="G44" s="31"/>
      <c r="H44" s="32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31" ht="27" customHeight="1">
      <c r="A45" s="29" t="s">
        <v>81</v>
      </c>
      <c r="B45" s="13"/>
      <c r="C45" s="13"/>
      <c r="D45" s="13"/>
      <c r="E45" s="71"/>
      <c r="F45" s="71"/>
      <c r="G45" s="72"/>
      <c r="H45" s="73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1"/>
      <c r="AD45" s="21"/>
      <c r="AE45" s="21"/>
    </row>
    <row r="46" spans="1:31" ht="18" customHeight="1">
      <c r="A46" s="132" t="s">
        <v>82</v>
      </c>
      <c r="B46" s="133"/>
      <c r="C46" s="133"/>
      <c r="D46" s="133"/>
      <c r="E46" s="133"/>
      <c r="F46" s="133"/>
      <c r="G46" s="134"/>
      <c r="H46" s="93" t="s">
        <v>83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31" ht="21.75" customHeight="1">
      <c r="A47" s="139" t="s">
        <v>84</v>
      </c>
      <c r="B47" s="140"/>
      <c r="C47" s="140"/>
      <c r="D47" s="140"/>
      <c r="E47" s="140"/>
      <c r="F47" s="140"/>
      <c r="G47" s="141"/>
      <c r="H47" s="93" t="s">
        <v>85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 spans="1:31" ht="21.75" customHeight="1">
      <c r="A48" s="139" t="s">
        <v>86</v>
      </c>
      <c r="B48" s="140"/>
      <c r="C48" s="140"/>
      <c r="D48" s="140"/>
      <c r="E48" s="140"/>
      <c r="F48" s="140"/>
      <c r="G48" s="141"/>
      <c r="H48" s="93" t="s">
        <v>87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 spans="1:29" ht="21.75" customHeight="1">
      <c r="A49" s="139" t="s">
        <v>88</v>
      </c>
      <c r="B49" s="140"/>
      <c r="C49" s="140"/>
      <c r="D49" s="140"/>
      <c r="E49" s="140"/>
      <c r="F49" s="140"/>
      <c r="G49" s="141"/>
      <c r="H49" s="86" t="s">
        <v>89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 spans="1:29" ht="21.75" customHeight="1">
      <c r="A50" s="136" t="s">
        <v>90</v>
      </c>
      <c r="B50" s="137"/>
      <c r="C50" s="137"/>
      <c r="D50" s="137"/>
      <c r="E50" s="137"/>
      <c r="F50" s="137"/>
      <c r="G50" s="138"/>
      <c r="H50" s="92" t="s">
        <v>91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29" ht="21.75" customHeight="1">
      <c r="A51" s="115" t="s">
        <v>92</v>
      </c>
      <c r="B51" s="116"/>
      <c r="C51" s="116"/>
      <c r="D51" s="116"/>
      <c r="E51" s="116"/>
      <c r="F51" s="116"/>
      <c r="G51" s="117"/>
      <c r="H51" s="104" t="e">
        <f>H49-H50</f>
        <v>#VALUE!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 spans="1:29" ht="10.5" customHeight="1">
      <c r="A52" s="30"/>
      <c r="B52" s="31"/>
      <c r="C52" s="31"/>
      <c r="D52" s="31"/>
      <c r="E52" s="31"/>
      <c r="F52" s="31"/>
      <c r="G52" s="31"/>
      <c r="H52" s="32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 spans="1:29" ht="33.75" customHeight="1">
      <c r="A53" s="20" t="str">
        <f>"4. Phí giữ xe tháng/Parking fee :"</f>
        <v>4. Phí giữ xe tháng/Parking fee :</v>
      </c>
      <c r="D53" s="118"/>
      <c r="E53" s="119"/>
      <c r="F53" s="119"/>
      <c r="G53" s="119"/>
      <c r="H53" s="120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 spans="1:29" ht="6" customHeight="1">
      <c r="A54" s="22"/>
      <c r="G54" s="8"/>
      <c r="H54" s="9"/>
    </row>
    <row r="55" spans="1:29" ht="6" customHeight="1">
      <c r="A55" s="22"/>
      <c r="G55" s="8"/>
      <c r="H55" s="9"/>
    </row>
    <row r="56" spans="1:29" ht="30" customHeight="1">
      <c r="A56" s="121" t="s">
        <v>93</v>
      </c>
      <c r="B56" s="122"/>
      <c r="C56" s="122"/>
      <c r="D56" s="123"/>
      <c r="E56" s="121" t="s">
        <v>94</v>
      </c>
      <c r="F56" s="123"/>
      <c r="G56" s="124" t="s">
        <v>95</v>
      </c>
      <c r="H56" s="125"/>
    </row>
    <row r="57" spans="1:29" ht="29.25" customHeight="1">
      <c r="A57" s="149" t="s">
        <v>96</v>
      </c>
      <c r="B57" s="167"/>
      <c r="C57" s="167"/>
      <c r="D57" s="168"/>
      <c r="E57" s="169" t="s">
        <v>97</v>
      </c>
      <c r="F57" s="170"/>
      <c r="G57" s="165" t="s">
        <v>98</v>
      </c>
      <c r="H57" s="166"/>
    </row>
    <row r="58" spans="1:29" ht="29.25" customHeight="1">
      <c r="A58" s="149" t="s">
        <v>99</v>
      </c>
      <c r="B58" s="167"/>
      <c r="C58" s="167"/>
      <c r="D58" s="168"/>
      <c r="E58" s="169" t="s">
        <v>100</v>
      </c>
      <c r="F58" s="170"/>
      <c r="G58" s="165" t="s">
        <v>101</v>
      </c>
      <c r="H58" s="166"/>
    </row>
    <row r="59" spans="1:29" ht="29.25" customHeight="1">
      <c r="A59" s="149" t="s">
        <v>102</v>
      </c>
      <c r="B59" s="167"/>
      <c r="C59" s="167"/>
      <c r="D59" s="168"/>
      <c r="E59" s="169" t="s">
        <v>103</v>
      </c>
      <c r="F59" s="170"/>
      <c r="G59" s="165" t="s">
        <v>104</v>
      </c>
      <c r="H59" s="166"/>
    </row>
    <row r="60" spans="1:29" ht="29.25" customHeight="1">
      <c r="A60" s="149" t="s">
        <v>105</v>
      </c>
      <c r="B60" s="167"/>
      <c r="C60" s="167"/>
      <c r="D60" s="168"/>
      <c r="E60" s="169" t="s">
        <v>106</v>
      </c>
      <c r="F60" s="170"/>
      <c r="G60" s="165" t="s">
        <v>107</v>
      </c>
      <c r="H60" s="166"/>
    </row>
    <row r="61" spans="1:29" ht="29.25" customHeight="1">
      <c r="A61" s="149" t="s">
        <v>108</v>
      </c>
      <c r="B61" s="167"/>
      <c r="C61" s="167"/>
      <c r="D61" s="168"/>
      <c r="E61" s="169" t="s">
        <v>109</v>
      </c>
      <c r="F61" s="170"/>
      <c r="G61" s="165" t="s">
        <v>110</v>
      </c>
      <c r="H61" s="166"/>
    </row>
    <row r="62" spans="1:29" ht="29.25" customHeight="1">
      <c r="A62" s="149" t="s">
        <v>111</v>
      </c>
      <c r="B62" s="167"/>
      <c r="C62" s="167"/>
      <c r="D62" s="168"/>
      <c r="E62" s="171"/>
      <c r="F62" s="172"/>
      <c r="G62" s="173" t="s">
        <v>112</v>
      </c>
      <c r="H62" s="174"/>
      <c r="I62" s="13"/>
    </row>
    <row r="63" spans="1:29" ht="29.25" customHeight="1">
      <c r="A63" s="136" t="s">
        <v>113</v>
      </c>
      <c r="B63" s="137"/>
      <c r="C63" s="137"/>
      <c r="D63" s="137"/>
      <c r="E63" s="175"/>
      <c r="F63" s="175"/>
      <c r="G63" s="173" t="s">
        <v>114</v>
      </c>
      <c r="H63" s="174"/>
      <c r="I63" s="13"/>
    </row>
    <row r="64" spans="1:29" ht="29.25" customHeight="1">
      <c r="A64" s="176" t="s">
        <v>115</v>
      </c>
      <c r="B64" s="176"/>
      <c r="C64" s="176"/>
      <c r="D64" s="176"/>
      <c r="E64" s="177"/>
      <c r="F64" s="177"/>
      <c r="G64" s="178" t="e">
        <f>G62-G63</f>
        <v>#VALUE!</v>
      </c>
      <c r="H64" s="179"/>
      <c r="I64" s="13"/>
    </row>
    <row r="65" spans="1:9" ht="33" customHeight="1">
      <c r="A65" s="180" t="str">
        <f>"5. Phí dịch vụ Tháng/Monthly management fee :"</f>
        <v>5. Phí dịch vụ Tháng/Monthly management fee :</v>
      </c>
      <c r="B65" s="181"/>
      <c r="C65" s="181"/>
      <c r="D65" s="181"/>
      <c r="E65" s="181"/>
      <c r="F65" s="74"/>
      <c r="G65" s="75"/>
      <c r="H65" s="76"/>
      <c r="I65" s="13"/>
    </row>
    <row r="66" spans="1:9" s="6" customFormat="1" ht="62.25" customHeight="1">
      <c r="A66" s="131" t="s">
        <v>116</v>
      </c>
      <c r="B66" s="135"/>
      <c r="C66" s="18" t="s">
        <v>117</v>
      </c>
      <c r="D66" s="18" t="s">
        <v>118</v>
      </c>
      <c r="E66" s="18" t="s">
        <v>119</v>
      </c>
      <c r="F66" s="131" t="s">
        <v>120</v>
      </c>
      <c r="G66" s="135"/>
      <c r="H66" s="19" t="s">
        <v>121</v>
      </c>
    </row>
    <row r="67" spans="1:9" s="6" customFormat="1" ht="30" customHeight="1">
      <c r="A67" s="184"/>
      <c r="B67" s="185"/>
      <c r="C67" s="107" t="s">
        <v>122</v>
      </c>
      <c r="D67" s="77" t="s">
        <v>123</v>
      </c>
      <c r="E67" s="77" t="s">
        <v>124</v>
      </c>
      <c r="F67" s="186" t="s">
        <v>125</v>
      </c>
      <c r="G67" s="187"/>
      <c r="H67" s="89" t="e">
        <f>E67-F67</f>
        <v>#VALUE!</v>
      </c>
    </row>
    <row r="68" spans="1:9" s="6" customFormat="1" ht="14.25">
      <c r="A68" s="33"/>
      <c r="G68" s="34"/>
      <c r="H68" s="35"/>
    </row>
    <row r="69" spans="1:9" ht="24.75" customHeight="1">
      <c r="A69" s="36" t="s">
        <v>126</v>
      </c>
      <c r="B69" s="37"/>
      <c r="C69" s="37"/>
      <c r="D69" s="38"/>
      <c r="E69" s="39"/>
      <c r="F69" s="40"/>
      <c r="G69" s="90" t="s">
        <v>127</v>
      </c>
      <c r="H69" s="91"/>
    </row>
    <row r="70" spans="1:9" ht="24.75" customHeight="1">
      <c r="A70" s="36" t="s">
        <v>128</v>
      </c>
      <c r="B70" s="37"/>
      <c r="C70" s="37"/>
      <c r="D70" s="38"/>
      <c r="E70" s="39"/>
      <c r="F70" s="40"/>
      <c r="G70" s="41" t="s">
        <v>129</v>
      </c>
      <c r="H70" s="15"/>
    </row>
    <row r="71" spans="1:9" ht="24.75" customHeight="1">
      <c r="A71" s="36" t="s">
        <v>130</v>
      </c>
      <c r="B71" s="37"/>
      <c r="C71" s="37"/>
      <c r="D71" s="38"/>
      <c r="E71" s="39"/>
      <c r="F71" s="40"/>
      <c r="G71" s="41" t="s">
        <v>131</v>
      </c>
      <c r="H71" s="15"/>
    </row>
    <row r="72" spans="1:9" ht="24" customHeight="1">
      <c r="A72" s="103" t="s">
        <v>132</v>
      </c>
      <c r="B72" s="194" t="s">
        <v>133</v>
      </c>
      <c r="C72" s="194"/>
      <c r="D72" s="194"/>
      <c r="E72" s="194"/>
      <c r="F72" s="194"/>
      <c r="G72" s="194"/>
      <c r="H72" s="195"/>
    </row>
    <row r="73" spans="1:9" ht="9" customHeight="1">
      <c r="A73" s="42"/>
      <c r="B73" s="13"/>
      <c r="C73" s="13"/>
      <c r="D73" s="13"/>
      <c r="E73" s="13"/>
      <c r="F73" s="13"/>
      <c r="G73" s="14"/>
      <c r="H73" s="15"/>
    </row>
    <row r="74" spans="1:9" ht="15.75">
      <c r="A74" s="22" t="s">
        <v>134</v>
      </c>
      <c r="B74" s="43"/>
      <c r="C74" s="13"/>
      <c r="D74" s="13"/>
      <c r="E74" s="13"/>
      <c r="F74" s="13"/>
      <c r="G74" s="14"/>
      <c r="H74" s="15"/>
    </row>
    <row r="75" spans="1:9" ht="54.75" customHeight="1">
      <c r="A75" s="188" t="s">
        <v>135</v>
      </c>
      <c r="B75" s="189"/>
      <c r="C75" s="189"/>
      <c r="D75" s="189"/>
      <c r="E75" s="189"/>
      <c r="F75" s="189"/>
      <c r="G75" s="189"/>
      <c r="H75" s="190"/>
    </row>
    <row r="76" spans="1:9" ht="15" customHeight="1">
      <c r="A76" s="102" t="s">
        <v>136</v>
      </c>
      <c r="B76" s="100"/>
      <c r="C76" s="100"/>
      <c r="D76" s="100"/>
      <c r="E76" s="100"/>
      <c r="F76" s="100"/>
      <c r="G76" s="100"/>
      <c r="H76" s="101"/>
    </row>
    <row r="77" spans="1:9" ht="12.75" customHeight="1">
      <c r="A77" s="102" t="s">
        <v>137</v>
      </c>
      <c r="B77" s="100"/>
      <c r="C77" s="100"/>
      <c r="D77" s="100"/>
      <c r="E77" s="100"/>
      <c r="F77" s="100"/>
      <c r="G77" s="100"/>
      <c r="H77" s="101"/>
    </row>
    <row r="78" spans="1:9" ht="12.75" customHeight="1">
      <c r="A78" s="10"/>
      <c r="B78" s="95"/>
      <c r="C78" s="95"/>
      <c r="D78" s="95"/>
      <c r="E78" s="95"/>
      <c r="F78" s="95"/>
      <c r="G78" s="95"/>
      <c r="H78" s="96"/>
    </row>
    <row r="79" spans="1:9" ht="12.75" customHeight="1">
      <c r="A79" s="97" t="s">
        <v>138</v>
      </c>
      <c r="B79" s="95"/>
      <c r="C79" s="95"/>
      <c r="D79" s="95"/>
      <c r="E79" s="95"/>
      <c r="F79" s="95"/>
      <c r="G79" s="95"/>
      <c r="H79" s="96"/>
    </row>
    <row r="80" spans="1:9" ht="12.75" customHeight="1">
      <c r="A80" s="97" t="s">
        <v>139</v>
      </c>
      <c r="B80" s="95"/>
      <c r="C80" s="95"/>
      <c r="D80" s="95"/>
      <c r="E80" s="95"/>
      <c r="F80" s="95"/>
      <c r="G80" s="95"/>
      <c r="H80" s="96"/>
    </row>
    <row r="81" spans="1:8" ht="26.25" customHeight="1">
      <c r="A81" s="20" t="s">
        <v>140</v>
      </c>
      <c r="B81" s="13"/>
      <c r="C81" s="13"/>
      <c r="D81" s="13"/>
      <c r="E81" s="13"/>
      <c r="F81" s="14"/>
      <c r="G81" s="16"/>
      <c r="H81" s="15"/>
    </row>
    <row r="82" spans="1:8" ht="53.25" customHeight="1">
      <c r="A82" s="191" t="s">
        <v>141</v>
      </c>
      <c r="B82" s="192"/>
      <c r="C82" s="192"/>
      <c r="D82" s="192"/>
      <c r="E82" s="192"/>
      <c r="F82" s="192"/>
      <c r="G82" s="192"/>
      <c r="H82" s="193"/>
    </row>
    <row r="83" spans="1:8" ht="7.5" customHeight="1">
      <c r="A83" s="17"/>
      <c r="B83" s="13"/>
      <c r="C83" s="13"/>
      <c r="D83" s="13"/>
      <c r="E83" s="13"/>
      <c r="F83" s="13"/>
      <c r="G83" s="14"/>
      <c r="H83" s="15"/>
    </row>
    <row r="84" spans="1:8" ht="15" customHeight="1">
      <c r="A84" s="182" t="s">
        <v>142</v>
      </c>
      <c r="B84" s="182"/>
      <c r="C84" s="182"/>
      <c r="D84" s="78"/>
      <c r="E84" s="13"/>
      <c r="F84" s="182" t="s">
        <v>143</v>
      </c>
      <c r="G84" s="182"/>
      <c r="H84" s="182"/>
    </row>
    <row r="85" spans="1:8" ht="12.75" customHeight="1">
      <c r="A85" s="109"/>
      <c r="B85" s="109" t="s">
        <v>144</v>
      </c>
      <c r="C85" s="109"/>
      <c r="D85" s="78"/>
      <c r="E85" s="94"/>
      <c r="F85" s="182" t="s">
        <v>145</v>
      </c>
      <c r="G85" s="182"/>
      <c r="H85" s="182"/>
    </row>
    <row r="86" spans="1:8" ht="15.6" customHeight="1">
      <c r="A86" s="183" t="s">
        <v>146</v>
      </c>
      <c r="B86" s="183"/>
      <c r="C86" s="183"/>
      <c r="D86" s="79"/>
      <c r="E86" s="13"/>
      <c r="F86" s="13"/>
      <c r="G86" s="14"/>
      <c r="H86" s="16"/>
    </row>
    <row r="87" spans="1:8">
      <c r="G87" s="8"/>
    </row>
    <row r="88" spans="1:8">
      <c r="G88" s="8"/>
    </row>
    <row r="89" spans="1:8">
      <c r="G89" s="8"/>
    </row>
    <row r="90" spans="1:8">
      <c r="G90" s="8"/>
    </row>
    <row r="91" spans="1:8">
      <c r="G91" s="8"/>
    </row>
    <row r="92" spans="1:8">
      <c r="G92" s="8"/>
    </row>
    <row r="93" spans="1:8">
      <c r="G93" s="8"/>
    </row>
    <row r="94" spans="1:8">
      <c r="G94" s="8"/>
    </row>
    <row r="95" spans="1:8">
      <c r="G95" s="8"/>
    </row>
    <row r="96" spans="1:8">
      <c r="G96" s="8"/>
    </row>
    <row r="97" spans="7:7">
      <c r="G97" s="8"/>
    </row>
    <row r="98" spans="7:7">
      <c r="G98" s="8"/>
    </row>
    <row r="99" spans="7:7">
      <c r="G99" s="8"/>
    </row>
    <row r="100" spans="7:7">
      <c r="G100" s="8"/>
    </row>
    <row r="101" spans="7:7">
      <c r="G101" s="8"/>
    </row>
    <row r="102" spans="7:7">
      <c r="G102" s="8"/>
    </row>
    <row r="103" spans="7:7">
      <c r="G103" s="8"/>
    </row>
    <row r="104" spans="7:7">
      <c r="G104" s="8"/>
    </row>
    <row r="105" spans="7:7">
      <c r="G105" s="8"/>
    </row>
    <row r="106" spans="7:7">
      <c r="G106" s="8"/>
    </row>
    <row r="107" spans="7:7">
      <c r="G107" s="8"/>
    </row>
    <row r="108" spans="7:7">
      <c r="G108" s="8"/>
    </row>
    <row r="109" spans="7:7">
      <c r="G109" s="8"/>
    </row>
  </sheetData>
  <mergeCells count="80">
    <mergeCell ref="A84:C84"/>
    <mergeCell ref="F84:H84"/>
    <mergeCell ref="A86:C86"/>
    <mergeCell ref="F85:H85"/>
    <mergeCell ref="A67:B67"/>
    <mergeCell ref="F67:G67"/>
    <mergeCell ref="A75:H75"/>
    <mergeCell ref="A82:H82"/>
    <mergeCell ref="B72:H72"/>
    <mergeCell ref="A64:D64"/>
    <mergeCell ref="E64:F64"/>
    <mergeCell ref="G64:H64"/>
    <mergeCell ref="A65:E65"/>
    <mergeCell ref="A66:B66"/>
    <mergeCell ref="F66:G66"/>
    <mergeCell ref="A62:D62"/>
    <mergeCell ref="E62:F62"/>
    <mergeCell ref="G62:H62"/>
    <mergeCell ref="A63:D63"/>
    <mergeCell ref="E63:F63"/>
    <mergeCell ref="G63:H63"/>
    <mergeCell ref="A60:D60"/>
    <mergeCell ref="E60:F60"/>
    <mergeCell ref="G60:H60"/>
    <mergeCell ref="A61:D61"/>
    <mergeCell ref="E61:F61"/>
    <mergeCell ref="G61:H61"/>
    <mergeCell ref="A58:D58"/>
    <mergeCell ref="E58:F58"/>
    <mergeCell ref="G58:H58"/>
    <mergeCell ref="A59:D59"/>
    <mergeCell ref="E59:F59"/>
    <mergeCell ref="G59:H59"/>
    <mergeCell ref="A46:G46"/>
    <mergeCell ref="A47:G47"/>
    <mergeCell ref="A48:G48"/>
    <mergeCell ref="A49:G49"/>
    <mergeCell ref="G57:H57"/>
    <mergeCell ref="A57:D57"/>
    <mergeCell ref="E57:F57"/>
    <mergeCell ref="I4:L4"/>
    <mergeCell ref="F5:H5"/>
    <mergeCell ref="I5:L5"/>
    <mergeCell ref="C6:H6"/>
    <mergeCell ref="B21:C21"/>
    <mergeCell ref="A18:G18"/>
    <mergeCell ref="A9:H9"/>
    <mergeCell ref="A10:B10"/>
    <mergeCell ref="A11:B11"/>
    <mergeCell ref="B15:C15"/>
    <mergeCell ref="B16:C16"/>
    <mergeCell ref="A13:G13"/>
    <mergeCell ref="A20:G20"/>
    <mergeCell ref="A27:G27"/>
    <mergeCell ref="A28:G28"/>
    <mergeCell ref="A29:G29"/>
    <mergeCell ref="A30:G30"/>
    <mergeCell ref="E2:H2"/>
    <mergeCell ref="E3:H3"/>
    <mergeCell ref="A17:E17"/>
    <mergeCell ref="A24:G24"/>
    <mergeCell ref="A26:G26"/>
    <mergeCell ref="B22:C22"/>
    <mergeCell ref="A23:E23"/>
    <mergeCell ref="A33:G33"/>
    <mergeCell ref="A39:G39"/>
    <mergeCell ref="A51:G51"/>
    <mergeCell ref="D53:H53"/>
    <mergeCell ref="A56:D56"/>
    <mergeCell ref="E56:F56"/>
    <mergeCell ref="G56:H56"/>
    <mergeCell ref="B41:C41"/>
    <mergeCell ref="A42:E42"/>
    <mergeCell ref="B34:C34"/>
    <mergeCell ref="B35:C35"/>
    <mergeCell ref="A36:E36"/>
    <mergeCell ref="A37:G37"/>
    <mergeCell ref="B40:C40"/>
    <mergeCell ref="A50:G50"/>
    <mergeCell ref="A43:G43"/>
  </mergeCells>
  <printOptions horizontalCentered="1"/>
  <pageMargins left="0.17" right="0" top="0.196850393700787" bottom="0" header="0" footer="0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435D-8DDA-4483-8920-438026415354}">
  <dimension ref="A1:N52"/>
  <sheetViews>
    <sheetView workbookViewId="0">
      <selection activeCell="J11" sqref="J11"/>
    </sheetView>
  </sheetViews>
  <sheetFormatPr defaultColWidth="9.140625" defaultRowHeight="15"/>
  <cols>
    <col min="1" max="1" width="19.85546875" customWidth="1"/>
    <col min="4" max="4" width="14.28515625" customWidth="1"/>
    <col min="8" max="8" width="16" customWidth="1"/>
    <col min="9" max="9" width="26.85546875" bestFit="1" customWidth="1"/>
    <col min="10" max="10" width="29" customWidth="1"/>
  </cols>
  <sheetData>
    <row r="1" spans="1:14" ht="18.75">
      <c r="A1" s="52" t="s">
        <v>147</v>
      </c>
    </row>
    <row r="2" spans="1:14">
      <c r="F2" s="53" t="s">
        <v>148</v>
      </c>
      <c r="G2" s="54">
        <v>4</v>
      </c>
      <c r="H2" s="54" t="s">
        <v>149</v>
      </c>
      <c r="I2" s="55">
        <v>41367</v>
      </c>
      <c r="J2" s="53" t="s">
        <v>150</v>
      </c>
      <c r="K2" s="54" t="s">
        <v>151</v>
      </c>
      <c r="L2" s="54" t="s">
        <v>152</v>
      </c>
    </row>
    <row r="3" spans="1:14">
      <c r="A3" t="s">
        <v>153</v>
      </c>
    </row>
    <row r="6" spans="1:14">
      <c r="A6" s="56" t="s">
        <v>154</v>
      </c>
      <c r="B6" s="57" t="s">
        <v>155</v>
      </c>
    </row>
    <row r="7" spans="1:14">
      <c r="B7" t="s">
        <v>156</v>
      </c>
    </row>
    <row r="8" spans="1:14">
      <c r="A8" s="58" t="s">
        <v>157</v>
      </c>
      <c r="H8" s="59" t="s">
        <v>158</v>
      </c>
      <c r="K8" s="59" t="s">
        <v>159</v>
      </c>
      <c r="M8" s="59" t="s">
        <v>160</v>
      </c>
    </row>
    <row r="9" spans="1:14" ht="90">
      <c r="A9" s="60" t="s">
        <v>161</v>
      </c>
      <c r="B9" s="60" t="s">
        <v>162</v>
      </c>
      <c r="C9" s="60" t="s">
        <v>163</v>
      </c>
      <c r="D9" s="61" t="s">
        <v>164</v>
      </c>
      <c r="E9" s="60"/>
      <c r="F9" s="60"/>
      <c r="H9" s="60" t="s">
        <v>165</v>
      </c>
      <c r="I9" s="60" t="s">
        <v>166</v>
      </c>
      <c r="K9" s="61" t="s">
        <v>167</v>
      </c>
      <c r="M9" s="60" t="s">
        <v>168</v>
      </c>
      <c r="N9" s="60" t="s">
        <v>169</v>
      </c>
    </row>
    <row r="10" spans="1:14">
      <c r="M10" s="62"/>
      <c r="N10" s="62"/>
    </row>
    <row r="11" spans="1:14">
      <c r="H11" s="62" t="s">
        <v>170</v>
      </c>
      <c r="I11" s="63"/>
    </row>
    <row r="12" spans="1:14">
      <c r="A12" s="62"/>
      <c r="B12" s="62"/>
      <c r="C12" s="62"/>
      <c r="H12" s="62" t="s">
        <v>171</v>
      </c>
      <c r="I12" s="64"/>
    </row>
    <row r="13" spans="1:14">
      <c r="A13" t="s">
        <v>172</v>
      </c>
      <c r="B13" t="s">
        <v>173</v>
      </c>
    </row>
    <row r="20" spans="1:10">
      <c r="H20" s="62" t="s">
        <v>174</v>
      </c>
      <c r="I20" s="65"/>
      <c r="J20" t="s">
        <v>175</v>
      </c>
    </row>
    <row r="21" spans="1:10">
      <c r="A21" t="s">
        <v>176</v>
      </c>
      <c r="B21" t="s">
        <v>177</v>
      </c>
      <c r="H21" s="62" t="s">
        <v>178</v>
      </c>
      <c r="I21" s="66"/>
      <c r="J21" t="s">
        <v>179</v>
      </c>
    </row>
    <row r="22" spans="1:10">
      <c r="I22" s="67"/>
    </row>
    <row r="23" spans="1:10">
      <c r="I23" s="67"/>
    </row>
    <row r="24" spans="1:10">
      <c r="I24" s="67"/>
    </row>
    <row r="25" spans="1:10">
      <c r="I25" s="67"/>
    </row>
    <row r="27" spans="1:10">
      <c r="I27" s="68"/>
    </row>
    <row r="28" spans="1:10">
      <c r="I28" s="68"/>
    </row>
    <row r="29" spans="1:10">
      <c r="I29" s="68"/>
    </row>
    <row r="30" spans="1:10">
      <c r="I30" s="68"/>
    </row>
    <row r="31" spans="1:10">
      <c r="I31" s="68"/>
    </row>
    <row r="32" spans="1:10">
      <c r="I32" s="68"/>
    </row>
    <row r="34" spans="9:9">
      <c r="I34" s="67"/>
    </row>
    <row r="35" spans="9:9">
      <c r="I35" s="67"/>
    </row>
    <row r="36" spans="9:9">
      <c r="I36" s="67"/>
    </row>
    <row r="37" spans="9:9">
      <c r="I37" s="67"/>
    </row>
    <row r="38" spans="9:9">
      <c r="I38" s="67"/>
    </row>
    <row r="39" spans="9:9">
      <c r="I39" s="67"/>
    </row>
    <row r="42" spans="9:9">
      <c r="I42" s="69"/>
    </row>
    <row r="43" spans="9:9">
      <c r="I43" s="69"/>
    </row>
    <row r="44" spans="9:9">
      <c r="I44" s="69"/>
    </row>
    <row r="45" spans="9:9">
      <c r="I45" s="69"/>
    </row>
    <row r="47" spans="9:9">
      <c r="I47" s="70"/>
    </row>
    <row r="48" spans="9:9">
      <c r="I48" s="70"/>
    </row>
    <row r="49" spans="9:9">
      <c r="I49" s="70"/>
    </row>
    <row r="50" spans="9:9">
      <c r="I50" s="70"/>
    </row>
    <row r="51" spans="9:9">
      <c r="I51" s="70"/>
    </row>
    <row r="52" spans="9:9">
      <c r="I52" s="7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Huyen Tran Thi Thanh</dc:creator>
  <cp:keywords/>
  <dc:description/>
  <cp:lastModifiedBy>Guest User</cp:lastModifiedBy>
  <cp:revision/>
  <dcterms:created xsi:type="dcterms:W3CDTF">2025-09-12T07:50:42Z</dcterms:created>
  <dcterms:modified xsi:type="dcterms:W3CDTF">2025-11-24T11:45:04Z</dcterms:modified>
  <cp:category/>
  <cp:contentStatus/>
</cp:coreProperties>
</file>